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adora" sheetId="1" state="visible" r:id="rId3"/>
    <sheet name="Parametros" sheetId="2" state="visible" r:id="rId4"/>
    <sheet name="Equipos" sheetId="3" state="visible" r:id="rId5"/>
    <sheet name="DvP" sheetId="4" state="visible" r:id="rId6"/>
    <sheet name="Factor_DvP" sheetId="5" state="visible" r:id="rId7"/>
    <sheet name="Jugadores" sheetId="6" state="visible" r:id="rId8"/>
    <sheet name="Registr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<sst xmlns="http://schemas.openxmlformats.org/spreadsheetml/2006/main" count="4183" uniqueCount="829">
  <si>
    <t xml:space="preserve">Calculadora de proyección de props (v0)</t>
  </si>
  <si>
    <t xml:space="preserve">Jugador</t>
  </si>
  <si>
    <t xml:space="preserve">Luka Dončić</t>
  </si>
  <si>
    <t xml:space="preserve">Rival</t>
  </si>
  <si>
    <t xml:space="preserve">Chicago Bulls</t>
  </si>
  <si>
    <t xml:space="preserve">Posición a usar (opcional)</t>
  </si>
  <si>
    <t xml:space="preserve">Posición usada</t>
  </si>
  <si>
    <t xml:space="preserve">Equipo 2026-27 del jugador</t>
  </si>
  <si>
    <t xml:space="preserve">Continuidad del rival (0-1)</t>
  </si>
  <si>
    <t xml:space="preserve">Stat</t>
  </si>
  <si>
    <t xml:space="preserve">Base con ajuste de rol</t>
  </si>
  <si>
    <t xml:space="preserve">Factor DvP rival</t>
  </si>
  <si>
    <t xml:space="preserve">Proyección</t>
  </si>
  <si>
    <t xml:space="preserve">Línea de la casa</t>
  </si>
  <si>
    <t xml:space="preserve">Proyección − línea</t>
  </si>
  <si>
    <t xml:space="preserve">Lado</t>
  </si>
  <si>
    <t xml:space="preserve">PTS</t>
  </si>
  <si>
    <t xml:space="preserve">REB</t>
  </si>
  <si>
    <t xml:space="preserve">AST</t>
  </si>
  <si>
    <t xml:space="preserve">PRA</t>
  </si>
  <si>
    <t xml:space="preserve">OJO: la diferencia con la línea NO es una ventaja por sí sola. Falta compararla con la variabilidad real del jugador y con la cuota.</t>
  </si>
  <si>
    <t xml:space="preserve">Celdas amarillas = las que puedes cambiar. Los parámetros están en la hoja Parametros.</t>
  </si>
  <si>
    <t xml:space="preserve">PROBABILIDAD DEL MODELO vs PROBABILIDAD DE LA CASA</t>
  </si>
  <si>
    <t xml:space="preserve">Escribe la línea arriba (columna E) y aquí las cuotas DECIMALES del over y del under. Las filas de ejemplo (asistencias) son solo una demostración: bórralas o cámbialas.</t>
  </si>
  <si>
    <t xml:space="preserve">Línea</t>
  </si>
  <si>
    <t xml:space="preserve">Cuota over</t>
  </si>
  <si>
    <t xml:space="preserve">Cuota under</t>
  </si>
  <si>
    <t xml:space="preserve">P modelo Over</t>
  </si>
  <si>
    <t xml:space="preserve">P modelo Under</t>
  </si>
  <si>
    <t xml:space="preserve">Implícita over (con margen)</t>
  </si>
  <si>
    <t xml:space="preserve">Implícita over (sin margen)</t>
  </si>
  <si>
    <t xml:space="preserve">Ventaja vs justa</t>
  </si>
  <si>
    <t xml:space="preserve">EV over (por unidad)</t>
  </si>
  <si>
    <t xml:space="preserve">EV under (por unidad)</t>
  </si>
  <si>
    <t xml:space="preserve">Lectura</t>
  </si>
  <si>
    <t xml:space="preserve">Cómo leerlo</t>
  </si>
  <si>
    <t xml:space="preserve">• P modelo = probabilidad (según el modelo) de que el jugador supere / se quede debajo de la línea. En línea entera (ej. 9) la diferencia hasta 100% es 'push' (te devuelven la apuesta).</t>
  </si>
  <si>
    <t xml:space="preserve">• Implícita con margen = 1 / cuota. Es el punto de equilibrio: necesitas acertar MÁS que eso para ganar dinero a largo plazo.</t>
  </si>
  <si>
    <t xml:space="preserve">• Implícita sin margen = lo que la casa 'cree' de verdad, quitando su comisión. Sirve para medir la ventaja (columna J).</t>
  </si>
  <si>
    <t xml:space="preserve">• EV = ganancia esperada por cada unidad apostada = P × (cuota − 1) − (1 − P). Si es negativa, esa apuesta pierde dinero a largo plazo aunque la ventaja de la columna J sea positiva.</t>
  </si>
  <si>
    <t xml:space="preserve">• El modelo NO está calibrado todavía: usa la hoja Registro para anotar lo que pasa y comprobar si sus probabilidades se cumplen.</t>
  </si>
  <si>
    <t xml:space="preserve">Conversor de cuota americana → decimal</t>
  </si>
  <si>
    <t xml:space="preserve">Cuota americana (ej. -115 o +120)</t>
  </si>
  <si>
    <t xml:space="preserve">Cuota decimal</t>
  </si>
  <si>
    <t xml:space="preserve">Parámetro</t>
  </si>
  <si>
    <t xml:space="preserve">Valor</t>
  </si>
  <si>
    <t xml:space="preserve">Qué hace</t>
  </si>
  <si>
    <t xml:space="preserve">lambda_PTS</t>
  </si>
  <si>
    <t xml:space="preserve">Cuánto del 'sube/baja' del rival en puntos se mantiene (0=ignorar defensa, 1=confiar 100%). Supuesto inicial, falta calibrar.</t>
  </si>
  <si>
    <t xml:space="preserve">lambda_REB</t>
  </si>
  <si>
    <t xml:space="preserve">Igual, para rebotes.</t>
  </si>
  <si>
    <t xml:space="preserve">lambda_AST</t>
  </si>
  <si>
    <t xml:space="preserve">Igual, para asistencias (las más ruidosas por posición).</t>
  </si>
  <si>
    <t xml:space="preserve">Tope_factor</t>
  </si>
  <si>
    <t xml:space="preserve">El factor DvP nunca mueve la proyección más de ±12%.</t>
  </si>
  <si>
    <t xml:space="preserve">sd_PTS</t>
  </si>
  <si>
    <t xml:space="preserve">Variación típica de los puntos de un jugador = 30% de su promedio (supuesto genérico; se mide con registros por partido).</t>
  </si>
  <si>
    <t xml:space="preserve">var_REB</t>
  </si>
  <si>
    <t xml:space="preserve">Rebotes: varianza = 1,3 × promedio (supuesto).</t>
  </si>
  <si>
    <t xml:space="preserve">var_AST</t>
  </si>
  <si>
    <t xml:space="preserve">Asistencias: varianza = 1,4 × promedio (supuesto).</t>
  </si>
  <si>
    <t xml:space="preserve">sd_PRA</t>
  </si>
  <si>
    <t xml:space="preserve">Variación típica de puntos+rebotes+asistencias = 25% de su promedio (supuesto).</t>
  </si>
  <si>
    <t xml:space="preserve">EV_minimo</t>
  </si>
  <si>
    <t xml:space="preserve">Esperanza de ganancia mínima (por unidad apostada) para marcar una jugada. Alta a propósito: el modelo aún no está calibrado.</t>
  </si>
  <si>
    <t xml:space="preserve">Fórmula del factor</t>
  </si>
  <si>
    <t xml:space="preserve">Factor = 1 + límite( continuidad_rival × lambda × (valor_rival − media_posición) / media_posición )</t>
  </si>
  <si>
    <t xml:space="preserve">Ajuste de rol</t>
  </si>
  <si>
    <t xml:space="preserve">Columnas adj_* de la hoja Jugadores (calculadas fuera de la hoja): DAMP=0.30, CAP=±6%, ARR_W=0.60. Reparte la producción de los que se fueron entre los que se quedan, según su margen de minutos.</t>
  </si>
  <si>
    <t xml:space="preserve">Pendiente de calibrar</t>
  </si>
  <si>
    <t xml:space="preserve">lambda y los parámetros de rol son supuestos de partida. Se calibran con histórico por partido (backtest), no a ojo.</t>
  </si>
  <si>
    <t xml:space="preserve">Equipo</t>
  </si>
  <si>
    <t xml:space="preserve">Abrev</t>
  </si>
  <si>
    <t xml:space="preserve">Continuidad</t>
  </si>
  <si>
    <t xml:space="preserve">Retenido_25-26</t>
  </si>
  <si>
    <t xml:space="preserve">Retenido_26-27</t>
  </si>
  <si>
    <t xml:space="preserve">Principales salidas</t>
  </si>
  <si>
    <t xml:space="preserve">Principales llegadas</t>
  </si>
  <si>
    <t xml:space="preserve">Atlanta Hawks</t>
  </si>
  <si>
    <t xml:space="preserve">ATL</t>
  </si>
  <si>
    <t xml:space="preserve">Trae Young; Kristaps Porziņģis; Jonathan Kuminga</t>
  </si>
  <si>
    <t xml:space="preserve">Aaron Wiggins; Devin Carter; Luguentz Dort</t>
  </si>
  <si>
    <t xml:space="preserve">Boston Celtics</t>
  </si>
  <si>
    <t xml:space="preserve">BOS</t>
  </si>
  <si>
    <t xml:space="preserve">Jaylen Brown; Anfernee Simons; Nikola Vučević</t>
  </si>
  <si>
    <t xml:space="preserve">Paul George; Mitchell Robinson; Mike Conley</t>
  </si>
  <si>
    <t xml:space="preserve">Brooklyn Nets</t>
  </si>
  <si>
    <t xml:space="preserve">BRK</t>
  </si>
  <si>
    <t xml:space="preserve">Cam Thomas; Nic Claxton; Ziaire Williams</t>
  </si>
  <si>
    <t xml:space="preserve">Julius Randle; Moritz Wagner; Keon Ellis</t>
  </si>
  <si>
    <t xml:space="preserve">Charlotte Hornets</t>
  </si>
  <si>
    <t xml:space="preserve">CHO</t>
  </si>
  <si>
    <t xml:space="preserve">LaMelo Ball; Miles Bridges; Collin Sexton</t>
  </si>
  <si>
    <t xml:space="preserve">Grayson Allen; Naz Reid; Dennis Schröder</t>
  </si>
  <si>
    <t xml:space="preserve">CHI</t>
  </si>
  <si>
    <t xml:space="preserve">Coby White; Collin Sexton; Nikola Vučević</t>
  </si>
  <si>
    <t xml:space="preserve">Norman Powell; Nic Claxton; Buddy Hield</t>
  </si>
  <si>
    <t xml:space="preserve">Cleveland Cavaliers</t>
  </si>
  <si>
    <t xml:space="preserve">CLE</t>
  </si>
  <si>
    <t xml:space="preserve">Darius Garland; De'Andre Hunter; Max Strus</t>
  </si>
  <si>
    <t xml:space="preserve">Peyton Watson; Cam Whitmore</t>
  </si>
  <si>
    <t xml:space="preserve">Dallas Mavericks</t>
  </si>
  <si>
    <t xml:space="preserve">DAL</t>
  </si>
  <si>
    <t xml:space="preserve">Brandon Williams; Klay Thompson; Marvin Bagley III</t>
  </si>
  <si>
    <t xml:space="preserve">Santi Aldama; Zaccharie Risacher; Marcus Sasser</t>
  </si>
  <si>
    <t xml:space="preserve">Denver Nuggets</t>
  </si>
  <si>
    <t xml:space="preserve">DEN</t>
  </si>
  <si>
    <t xml:space="preserve">Peyton Watson; Tim Hardaway Jr.</t>
  </si>
  <si>
    <t xml:space="preserve">DeMar DeRozan; Marvin Bagley III; KJ Simpson</t>
  </si>
  <si>
    <t xml:space="preserve">Detroit Pistons</t>
  </si>
  <si>
    <t xml:space="preserve">DET</t>
  </si>
  <si>
    <t xml:space="preserve">Tobias Harris; Isaiah Stewart; Jaden Ivey</t>
  </si>
  <si>
    <t xml:space="preserve">John Collins; Isaiah Joe; Taurean Prince</t>
  </si>
  <si>
    <t xml:space="preserve">Golden State Warriors</t>
  </si>
  <si>
    <t xml:space="preserve">GSW</t>
  </si>
  <si>
    <t xml:space="preserve">Jonathan Kuminga; Buddy Hield; Quinten Post</t>
  </si>
  <si>
    <t xml:space="preserve">Brandon Williams</t>
  </si>
  <si>
    <t xml:space="preserve">Houston Rockets</t>
  </si>
  <si>
    <t xml:space="preserve">HOU</t>
  </si>
  <si>
    <t xml:space="preserve">Josh Okogie; Dorian Finney-Smith</t>
  </si>
  <si>
    <t xml:space="preserve">Marcus Smart; Bogdan Bogdanović</t>
  </si>
  <si>
    <t xml:space="preserve">Indiana Pacers</t>
  </si>
  <si>
    <t xml:space="preserve">IND</t>
  </si>
  <si>
    <t xml:space="preserve">Bennedict Mathurin; Micah Potter; Isaiah Jackson</t>
  </si>
  <si>
    <t xml:space="preserve">Kelly Oubre Jr.; Larry Nance Jr.</t>
  </si>
  <si>
    <t xml:space="preserve">Los Angeles Clippers</t>
  </si>
  <si>
    <t xml:space="preserve">LAC</t>
  </si>
  <si>
    <t xml:space="preserve">Kawhi Leonard; James Harden; Bennedict Mathurin</t>
  </si>
  <si>
    <t xml:space="preserve">Brandon Ingram; Rui Hachimura; Max Strus</t>
  </si>
  <si>
    <t xml:space="preserve">Los Angeles Lakers</t>
  </si>
  <si>
    <t xml:space="preserve">LAL</t>
  </si>
  <si>
    <t xml:space="preserve">LeBron James; Deandre Ayton; Rui Hachimura</t>
  </si>
  <si>
    <t xml:space="preserve">Collin Sexton; Walker Kessler; Quentin Grimes</t>
  </si>
  <si>
    <t xml:space="preserve">Memphis Grizzlies</t>
  </si>
  <si>
    <t xml:space="preserve">MEM</t>
  </si>
  <si>
    <t xml:space="preserve">Ja Morant; Jaren Jackson Jr.; Santi Aldama</t>
  </si>
  <si>
    <t xml:space="preserve">Jerami Grant; D'Angelo Russell; Isaiah Stewart</t>
  </si>
  <si>
    <t xml:space="preserve">Miami Heat</t>
  </si>
  <si>
    <t xml:space="preserve">MIA</t>
  </si>
  <si>
    <t xml:space="preserve">Norman Powell; Tyler Herro; Jaime Jaquez Jr.</t>
  </si>
  <si>
    <t xml:space="preserve">Giannis Antetokounmpo; Bobby Portis; Tim Hardaway Jr.</t>
  </si>
  <si>
    <t xml:space="preserve">Milwaukee Bucks</t>
  </si>
  <si>
    <t xml:space="preserve">MIL</t>
  </si>
  <si>
    <t xml:space="preserve">Giannis Antetokounmpo; Bobby Portis; Taurean Prince</t>
  </si>
  <si>
    <t xml:space="preserve">Tyler Herro; Jaime Jaquez Jr.; Kel'el Ware</t>
  </si>
  <si>
    <t xml:space="preserve">Minnesota Timberwolves</t>
  </si>
  <si>
    <t xml:space="preserve">MIN</t>
  </si>
  <si>
    <t xml:space="preserve">Julius Randle; Naz Reid; Kyle Anderson</t>
  </si>
  <si>
    <t xml:space="preserve">LaMelo Ball; Jonathan Kuminga; Cody Williams</t>
  </si>
  <si>
    <t xml:space="preserve">New Orleans Pelicans</t>
  </si>
  <si>
    <t xml:space="preserve">NOP</t>
  </si>
  <si>
    <t xml:space="preserve">Jose Alvarado; Jordan Hawkins; Micah Peavy</t>
  </si>
  <si>
    <t xml:space="preserve">Bennedict Mathurin; Trendon Watford</t>
  </si>
  <si>
    <t xml:space="preserve">New York Knicks</t>
  </si>
  <si>
    <t xml:space="preserve">NYK</t>
  </si>
  <si>
    <t xml:space="preserve">Mitchell Robinson</t>
  </si>
  <si>
    <t xml:space="preserve">Andre Drummond</t>
  </si>
  <si>
    <t xml:space="preserve">Oklahoma City Thunder</t>
  </si>
  <si>
    <t xml:space="preserve">OKC</t>
  </si>
  <si>
    <t xml:space="preserve">Isaiah Joe; Aaron Wiggins; Luguentz Dort</t>
  </si>
  <si>
    <t xml:space="preserve">Orlando Magic</t>
  </si>
  <si>
    <t xml:space="preserve">ORL</t>
  </si>
  <si>
    <t xml:space="preserve">Moritz Wagner; Tyus Jones</t>
  </si>
  <si>
    <t xml:space="preserve">Nikola Vučević</t>
  </si>
  <si>
    <t xml:space="preserve">Philadelphia 76ers</t>
  </si>
  <si>
    <t xml:space="preserve">PHI</t>
  </si>
  <si>
    <t xml:space="preserve">Paul George; Kelly Oubre Jr.; Quentin Grimes</t>
  </si>
  <si>
    <t xml:space="preserve">Jaylen Brown; LeBron James; Anfernee Simons</t>
  </si>
  <si>
    <t xml:space="preserve">Phoenix Suns</t>
  </si>
  <si>
    <t xml:space="preserve">PHO</t>
  </si>
  <si>
    <t xml:space="preserve">Grayson Allen; Royce O'Neale</t>
  </si>
  <si>
    <t xml:space="preserve">Miles Bridges; Luke Kennard</t>
  </si>
  <si>
    <t xml:space="preserve">Portland Trail Blazers</t>
  </si>
  <si>
    <t xml:space="preserve">POR</t>
  </si>
  <si>
    <t xml:space="preserve">Jerami Grant; Kris Murray; Matisse Thybulle</t>
  </si>
  <si>
    <t xml:space="preserve">Ja Morant; Micah Potter; Branden Carlson</t>
  </si>
  <si>
    <t xml:space="preserve">Sacramento Kings</t>
  </si>
  <si>
    <t xml:space="preserve">SAC</t>
  </si>
  <si>
    <t xml:space="preserve">DeMar DeRozan; Dennis Schröder; Devin Carter</t>
  </si>
  <si>
    <t xml:space="preserve">San Antonio Spurs</t>
  </si>
  <si>
    <t xml:space="preserve">SAS</t>
  </si>
  <si>
    <t xml:space="preserve">Jeremy Sochan</t>
  </si>
  <si>
    <t xml:space="preserve">Tobias Harris</t>
  </si>
  <si>
    <t xml:space="preserve">Toronto Raptors</t>
  </si>
  <si>
    <t xml:space="preserve">TOR</t>
  </si>
  <si>
    <t xml:space="preserve">Brandon Ingram; Sandro Mamukelashvili; Gradey Dick</t>
  </si>
  <si>
    <t xml:space="preserve">Kawhi Leonard; Kyle Anderson</t>
  </si>
  <si>
    <t xml:space="preserve">Utah Jazz</t>
  </si>
  <si>
    <t xml:space="preserve">UTA</t>
  </si>
  <si>
    <t xml:space="preserve">Walker Kessler; Cody Williams; Kyle Anderson</t>
  </si>
  <si>
    <t xml:space="preserve">Jaxson Hayes; Josh Okogie; Josh Green</t>
  </si>
  <si>
    <t xml:space="preserve">Washington Wizards</t>
  </si>
  <si>
    <t xml:space="preserve">WAS</t>
  </si>
  <si>
    <t xml:space="preserve">CJ McCollum; Jaden Hardy; Marvin Bagley III</t>
  </si>
  <si>
    <t xml:space="preserve">Deandre Ayton; Tre Mann</t>
  </si>
  <si>
    <t xml:space="preserve">Posicion</t>
  </si>
  <si>
    <t xml:space="preserve">Puntos</t>
  </si>
  <si>
    <t xml:space="preserve">Asistencias</t>
  </si>
  <si>
    <t xml:space="preserve">Rebotes</t>
  </si>
  <si>
    <t xml:space="preserve">Triples</t>
  </si>
  <si>
    <t xml:space="preserve">Robos</t>
  </si>
  <si>
    <t xml:space="preserve">Rank_Puntos</t>
  </si>
  <si>
    <t xml:space="preserve">Rank_Asistencias</t>
  </si>
  <si>
    <t xml:space="preserve">Rank_Rebotes</t>
  </si>
  <si>
    <t xml:space="preserve">Rank_Triples</t>
  </si>
  <si>
    <t xml:space="preserve">Rank_Robos</t>
  </si>
  <si>
    <t xml:space="preserve">Bloqueos</t>
  </si>
  <si>
    <t xml:space="preserve">Rank_Bloqueos</t>
  </si>
  <si>
    <t xml:space="preserve">PG</t>
  </si>
  <si>
    <t xml:space="preserve">SG</t>
  </si>
  <si>
    <t xml:space="preserve">SF</t>
  </si>
  <si>
    <t xml:space="preserve">PF</t>
  </si>
  <si>
    <t xml:space="preserve">C</t>
  </si>
  <si>
    <t xml:space="preserve">Clave</t>
  </si>
  <si>
    <t xml:space="preserve">Equipo rival</t>
  </si>
  <si>
    <t xml:space="preserve">Pos</t>
  </si>
  <si>
    <t xml:space="preserve">Continuidad rival</t>
  </si>
  <si>
    <t xml:space="preserve">Dev_PTS</t>
  </si>
  <si>
    <t xml:space="preserve">Dev_REB</t>
  </si>
  <si>
    <t xml:space="preserve">Dev_AST</t>
  </si>
  <si>
    <t xml:space="preserve">Factor_PTS</t>
  </si>
  <si>
    <t xml:space="preserve">Factor_REB</t>
  </si>
  <si>
    <t xml:space="preserve">Factor_AST</t>
  </si>
  <si>
    <t xml:space="preserve">Equipo_25-26</t>
  </si>
  <si>
    <t xml:space="preserve">Equipo_26-27</t>
  </si>
  <si>
    <t xml:space="preserve">Movimiento</t>
  </si>
  <si>
    <t xml:space="preserve">Pos_alt</t>
  </si>
  <si>
    <t xml:space="preserve">Confianza_pos</t>
  </si>
  <si>
    <t xml:space="preserve">adj_PTS</t>
  </si>
  <si>
    <t xml:space="preserve">adj_REB</t>
  </si>
  <si>
    <t xml:space="preserve">adj_AST</t>
  </si>
  <si>
    <t xml:space="preserve">PTS_base</t>
  </si>
  <si>
    <t xml:space="preserve">REB_base</t>
  </si>
  <si>
    <t xml:space="preserve">AST_base</t>
  </si>
  <si>
    <t xml:space="preserve">Sin movimiento reportado</t>
  </si>
  <si>
    <t xml:space="preserve">manual</t>
  </si>
  <si>
    <t xml:space="preserve">Shai Gilgeous-Alexander</t>
  </si>
  <si>
    <t xml:space="preserve">Anthony Edwards</t>
  </si>
  <si>
    <t xml:space="preserve">Jaylen Brown</t>
  </si>
  <si>
    <t xml:space="preserve">Cambió de equipo</t>
  </si>
  <si>
    <t xml:space="preserve">Tyrese Maxey</t>
  </si>
  <si>
    <t xml:space="preserve">Kawhi Leonard</t>
  </si>
  <si>
    <t xml:space="preserve">Donovan Mitchell</t>
  </si>
  <si>
    <t xml:space="preserve">Renovó</t>
  </si>
  <si>
    <t xml:space="preserve">Nikola Jokić</t>
  </si>
  <si>
    <t xml:space="preserve">Giannis Antetokounmpo</t>
  </si>
  <si>
    <t xml:space="preserve">Joel Embiid</t>
  </si>
  <si>
    <t xml:space="preserve">Lauri Markkanen</t>
  </si>
  <si>
    <t xml:space="preserve">Stephen Curry</t>
  </si>
  <si>
    <t xml:space="preserve">Devin Booker</t>
  </si>
  <si>
    <t xml:space="preserve">Jalen Brunson</t>
  </si>
  <si>
    <t xml:space="preserve">Kevin Durant</t>
  </si>
  <si>
    <t xml:space="preserve">Jamal Murray</t>
  </si>
  <si>
    <t xml:space="preserve">Victor Wembanyama</t>
  </si>
  <si>
    <t xml:space="preserve">Deni Avdija</t>
  </si>
  <si>
    <t xml:space="preserve">Michael Porter Jr.</t>
  </si>
  <si>
    <t xml:space="preserve">Pascal Siakam</t>
  </si>
  <si>
    <t xml:space="preserve">Cade Cunningham</t>
  </si>
  <si>
    <t xml:space="preserve">James Harden</t>
  </si>
  <si>
    <t xml:space="preserve">Keyonte George</t>
  </si>
  <si>
    <t xml:space="preserve">Austin Reaves</t>
  </si>
  <si>
    <t xml:space="preserve">Jalen Johnson</t>
  </si>
  <si>
    <t xml:space="preserve">Paolo Banchero</t>
  </si>
  <si>
    <t xml:space="preserve">Jayson Tatum</t>
  </si>
  <si>
    <t xml:space="preserve">Norman Powell</t>
  </si>
  <si>
    <t xml:space="preserve">Brandon Ingram</t>
  </si>
  <si>
    <t xml:space="preserve">Trey Murphy III</t>
  </si>
  <si>
    <t xml:space="preserve">Julius Randle</t>
  </si>
  <si>
    <t xml:space="preserve">Cooper Flagg</t>
  </si>
  <si>
    <t xml:space="preserve">Zion Williamson</t>
  </si>
  <si>
    <t xml:space="preserve">LeBron James</t>
  </si>
  <si>
    <t xml:space="preserve">Nickeil Alexander-Walker</t>
  </si>
  <si>
    <t xml:space="preserve">Shaedon Sharpe</t>
  </si>
  <si>
    <t xml:space="preserve">Franz Wagner</t>
  </si>
  <si>
    <t xml:space="preserve">Tyler Herro</t>
  </si>
  <si>
    <t xml:space="preserve">Anthony Davis</t>
  </si>
  <si>
    <t xml:space="preserve">Alperen Şengün</t>
  </si>
  <si>
    <t xml:space="preserve">Dillon Brooks</t>
  </si>
  <si>
    <t xml:space="preserve">Brandon Miller</t>
  </si>
  <si>
    <t xml:space="preserve">Bam Adebayo</t>
  </si>
  <si>
    <t xml:space="preserve">LaMelo Ball</t>
  </si>
  <si>
    <t xml:space="preserve">Desmond Bane</t>
  </si>
  <si>
    <t xml:space="preserve">Karl-Anthony Towns</t>
  </si>
  <si>
    <t xml:space="preserve">Jimmy Butler</t>
  </si>
  <si>
    <t xml:space="preserve">Ty Jerome</t>
  </si>
  <si>
    <t xml:space="preserve">Jalen Duren</t>
  </si>
  <si>
    <t xml:space="preserve">Ja Morant</t>
  </si>
  <si>
    <t xml:space="preserve">Jaren Jackson Jr.</t>
  </si>
  <si>
    <t xml:space="preserve">RJ Barrett</t>
  </si>
  <si>
    <t xml:space="preserve">Zach LaVine</t>
  </si>
  <si>
    <t xml:space="preserve">Darius Garland</t>
  </si>
  <si>
    <t xml:space="preserve">CJ McCollum</t>
  </si>
  <si>
    <t xml:space="preserve">De'Aaron Fox</t>
  </si>
  <si>
    <t xml:space="preserve">Jerami Grant</t>
  </si>
  <si>
    <t xml:space="preserve">Kon Knueppel</t>
  </si>
  <si>
    <t xml:space="preserve">DeMar DeRozan</t>
  </si>
  <si>
    <t xml:space="preserve">Amen Thompson</t>
  </si>
  <si>
    <t xml:space="preserve">Evan Mobley</t>
  </si>
  <si>
    <t xml:space="preserve">Scottie Barnes</t>
  </si>
  <si>
    <t xml:space="preserve">Trae Young</t>
  </si>
  <si>
    <t xml:space="preserve">Jalen Green</t>
  </si>
  <si>
    <t xml:space="preserve">Saddiq Bey</t>
  </si>
  <si>
    <t xml:space="preserve">Bennedict Mathurin</t>
  </si>
  <si>
    <t xml:space="preserve">Coby White</t>
  </si>
  <si>
    <t xml:space="preserve">Kevin Porter Jr.</t>
  </si>
  <si>
    <t xml:space="preserve">Paul George</t>
  </si>
  <si>
    <t xml:space="preserve">Ryan Rollins</t>
  </si>
  <si>
    <t xml:space="preserve">Miles Bridges</t>
  </si>
  <si>
    <t xml:space="preserve">Chet Holmgren</t>
  </si>
  <si>
    <t xml:space="preserve">Jalen Williams</t>
  </si>
  <si>
    <t xml:space="preserve">Josh Giddey</t>
  </si>
  <si>
    <t xml:space="preserve">Payton Pritchard</t>
  </si>
  <si>
    <t xml:space="preserve">Andrew Nembhard</t>
  </si>
  <si>
    <t xml:space="preserve">Kristaps Porziņģis</t>
  </si>
  <si>
    <t xml:space="preserve">OG Anunoby</t>
  </si>
  <si>
    <t xml:space="preserve">Stephon Castle</t>
  </si>
  <si>
    <t xml:space="preserve">Dejounte Murray</t>
  </si>
  <si>
    <t xml:space="preserve">Grayson Allen</t>
  </si>
  <si>
    <t xml:space="preserve">Derrick White</t>
  </si>
  <si>
    <t xml:space="preserve">Immanuel Quickley</t>
  </si>
  <si>
    <t xml:space="preserve">Matas Buzelis</t>
  </si>
  <si>
    <t xml:space="preserve">Jrue Holiday</t>
  </si>
  <si>
    <t xml:space="preserve">Alex Sarr</t>
  </si>
  <si>
    <t xml:space="preserve">Dariq Whitehead</t>
  </si>
  <si>
    <t xml:space="preserve">Aaron Gordon</t>
  </si>
  <si>
    <t xml:space="preserve">VJ Edgecombe</t>
  </si>
  <si>
    <t xml:space="preserve">Domantas Sabonis</t>
  </si>
  <si>
    <t xml:space="preserve">Jabari Smith Jr.</t>
  </si>
  <si>
    <t xml:space="preserve">Collin Sexton</t>
  </si>
  <si>
    <t xml:space="preserve">Jarrett Allen</t>
  </si>
  <si>
    <t xml:space="preserve">Jaime Jaquez Jr.</t>
  </si>
  <si>
    <t xml:space="preserve">Andrew Wiggins</t>
  </si>
  <si>
    <t xml:space="preserve">Naji Marshall</t>
  </si>
  <si>
    <t xml:space="preserve">Onyeka Okongwu</t>
  </si>
  <si>
    <t xml:space="preserve">Russell Westbrook</t>
  </si>
  <si>
    <t xml:space="preserve">Anthony Black</t>
  </si>
  <si>
    <t xml:space="preserve">Kennedy Chandler</t>
  </si>
  <si>
    <t xml:space="preserve">Brice Sensabaugh</t>
  </si>
  <si>
    <t xml:space="preserve">Ayo Dosunmu</t>
  </si>
  <si>
    <t xml:space="preserve">Kyshawn George</t>
  </si>
  <si>
    <t xml:space="preserve">Jaden McDaniels</t>
  </si>
  <si>
    <t xml:space="preserve">Peyton Watson</t>
  </si>
  <si>
    <t xml:space="preserve">Mikal Bridges</t>
  </si>
  <si>
    <t xml:space="preserve">Walker Kessler</t>
  </si>
  <si>
    <t xml:space="preserve">Anfernee Simons</t>
  </si>
  <si>
    <t xml:space="preserve">Jeremiah Fears</t>
  </si>
  <si>
    <t xml:space="preserve">Cormac Ryan</t>
  </si>
  <si>
    <t xml:space="preserve">Scoot Henderson</t>
  </si>
  <si>
    <t xml:space="preserve">P.J. Washington</t>
  </si>
  <si>
    <t xml:space="preserve">Ivica Zubac</t>
  </si>
  <si>
    <t xml:space="preserve">Tre Jones</t>
  </si>
  <si>
    <t xml:space="preserve">Kelly Oubre Jr.</t>
  </si>
  <si>
    <t xml:space="preserve">Santi Aldama</t>
  </si>
  <si>
    <t xml:space="preserve">Keegan Murray</t>
  </si>
  <si>
    <t xml:space="preserve">Devin Vassell</t>
  </si>
  <si>
    <t xml:space="preserve">Ace Bailey</t>
  </si>
  <si>
    <t xml:space="preserve">Aaron Nesmith</t>
  </si>
  <si>
    <t xml:space="preserve">Brandin Podziemski</t>
  </si>
  <si>
    <t xml:space="preserve">Jalen Suggs</t>
  </si>
  <si>
    <t xml:space="preserve">De'Andre Hunter</t>
  </si>
  <si>
    <t xml:space="preserve">Bobby Portis</t>
  </si>
  <si>
    <t xml:space="preserve">John Collins</t>
  </si>
  <si>
    <t xml:space="preserve">Cedric Coward</t>
  </si>
  <si>
    <t xml:space="preserve">Zach Edey</t>
  </si>
  <si>
    <t xml:space="preserve">Ajay Mitchell</t>
  </si>
  <si>
    <t xml:space="preserve">Naz Reid</t>
  </si>
  <si>
    <t xml:space="preserve">Cam Thomas</t>
  </si>
  <si>
    <t xml:space="preserve">Tim Hardaway Jr.</t>
  </si>
  <si>
    <t xml:space="preserve">Reed Sheppard</t>
  </si>
  <si>
    <t xml:space="preserve">Toumani Camara</t>
  </si>
  <si>
    <t xml:space="preserve">Quentin Grimes</t>
  </si>
  <si>
    <t xml:space="preserve">Jordan Poole</t>
  </si>
  <si>
    <t xml:space="preserve">Keldon Johnson</t>
  </si>
  <si>
    <t xml:space="preserve">Jaylon Tyson</t>
  </si>
  <si>
    <t xml:space="preserve">Kyle Kuzma</t>
  </si>
  <si>
    <t xml:space="preserve">Sam Merrill</t>
  </si>
  <si>
    <t xml:space="preserve">Collin Gillespie</t>
  </si>
  <si>
    <t xml:space="preserve">Deandre Ayton</t>
  </si>
  <si>
    <t xml:space="preserve">GG Jackson II</t>
  </si>
  <si>
    <t xml:space="preserve">Malik Monk</t>
  </si>
  <si>
    <t xml:space="preserve">Maxime Raynaud</t>
  </si>
  <si>
    <t xml:space="preserve">Jaylen Wells</t>
  </si>
  <si>
    <t xml:space="preserve">Max Christie</t>
  </si>
  <si>
    <t xml:space="preserve">Noah Clowney</t>
  </si>
  <si>
    <t xml:space="preserve">De'Anthony Melton</t>
  </si>
  <si>
    <t xml:space="preserve">Jonathan Kuminga</t>
  </si>
  <si>
    <t xml:space="preserve">Donte DiVincenzo</t>
  </si>
  <si>
    <t xml:space="preserve">Cameron Johnson</t>
  </si>
  <si>
    <t xml:space="preserve">Tre Johnson</t>
  </si>
  <si>
    <t xml:space="preserve">Duncan Robinson</t>
  </si>
  <si>
    <t xml:space="preserve">Donovan Clingan</t>
  </si>
  <si>
    <t xml:space="preserve">Moses Moody</t>
  </si>
  <si>
    <t xml:space="preserve">Christian Braun</t>
  </si>
  <si>
    <t xml:space="preserve">Josh Hart</t>
  </si>
  <si>
    <t xml:space="preserve">Miles McBride</t>
  </si>
  <si>
    <t xml:space="preserve">Tristen Newton</t>
  </si>
  <si>
    <t xml:space="preserve">estimada (stats)</t>
  </si>
  <si>
    <t xml:space="preserve">Dyson Daniels</t>
  </si>
  <si>
    <t xml:space="preserve">Blake Hinson</t>
  </si>
  <si>
    <t xml:space="preserve">Myles Turner</t>
  </si>
  <si>
    <t xml:space="preserve">Wendell Carter Jr.</t>
  </si>
  <si>
    <t xml:space="preserve">Dylan Harper</t>
  </si>
  <si>
    <t xml:space="preserve">Julian Reese</t>
  </si>
  <si>
    <t xml:space="preserve">Nic Claxton</t>
  </si>
  <si>
    <t xml:space="preserve">Isaiah Collier</t>
  </si>
  <si>
    <t xml:space="preserve">Bilal Coulibaly</t>
  </si>
  <si>
    <t xml:space="preserve">Derik Queen</t>
  </si>
  <si>
    <t xml:space="preserve">Klay Thompson</t>
  </si>
  <si>
    <t xml:space="preserve">Mark Williams</t>
  </si>
  <si>
    <t xml:space="preserve">Obi Toppin</t>
  </si>
  <si>
    <t xml:space="preserve">Jarace Walker</t>
  </si>
  <si>
    <t xml:space="preserve">Rui Hachimura</t>
  </si>
  <si>
    <t xml:space="preserve">Kyle Filipowski</t>
  </si>
  <si>
    <t xml:space="preserve">Pelle Larsson</t>
  </si>
  <si>
    <t xml:space="preserve">Scotty Pippen Jr.</t>
  </si>
  <si>
    <t xml:space="preserve">Sandro Mamukelashvili</t>
  </si>
  <si>
    <t xml:space="preserve">Max Strus</t>
  </si>
  <si>
    <t xml:space="preserve">Julian Champagnie</t>
  </si>
  <si>
    <t xml:space="preserve">Isaiah Joe</t>
  </si>
  <si>
    <t xml:space="preserve">Cam Spencer</t>
  </si>
  <si>
    <t xml:space="preserve">Kel'el Ware</t>
  </si>
  <si>
    <t xml:space="preserve">Alondes Williams</t>
  </si>
  <si>
    <t xml:space="preserve">Rudy Gobert</t>
  </si>
  <si>
    <t xml:space="preserve">Jusuf Nurkić</t>
  </si>
  <si>
    <t xml:space="preserve">Dennis Schröder</t>
  </si>
  <si>
    <t xml:space="preserve">Tyler Burton</t>
  </si>
  <si>
    <t xml:space="preserve">Daeqwon Plowden</t>
  </si>
  <si>
    <t xml:space="preserve">Bub Carrington</t>
  </si>
  <si>
    <t xml:space="preserve">Jakob Poeltl</t>
  </si>
  <si>
    <t xml:space="preserve">Jock Landale</t>
  </si>
  <si>
    <t xml:space="preserve">Marvin Bagley III</t>
  </si>
  <si>
    <t xml:space="preserve">Tari Eason</t>
  </si>
  <si>
    <t xml:space="preserve">Adama-Alpha Bal</t>
  </si>
  <si>
    <t xml:space="preserve">A.J. Green</t>
  </si>
  <si>
    <t xml:space="preserve">Caleb Love</t>
  </si>
  <si>
    <t xml:space="preserve">Lucas Williamson</t>
  </si>
  <si>
    <t xml:space="preserve">Egor Dëmin</t>
  </si>
  <si>
    <t xml:space="preserve">DaQuan Jeffries</t>
  </si>
  <si>
    <t xml:space="preserve">Will Riley</t>
  </si>
  <si>
    <t xml:space="preserve">Khris Middleton</t>
  </si>
  <si>
    <t xml:space="preserve">Neemias Queta</t>
  </si>
  <si>
    <t xml:space="preserve">D'Angelo Russell</t>
  </si>
  <si>
    <t xml:space="preserve">Jalen Smith</t>
  </si>
  <si>
    <t xml:space="preserve">Ziaire Williams</t>
  </si>
  <si>
    <t xml:space="preserve">Precious Achiuwa</t>
  </si>
  <si>
    <t xml:space="preserve">Derrick Jones Jr.</t>
  </si>
  <si>
    <t xml:space="preserve">Kevin Huerter</t>
  </si>
  <si>
    <t xml:space="preserve">Jordan Miller</t>
  </si>
  <si>
    <t xml:space="preserve">Toby Okani</t>
  </si>
  <si>
    <t xml:space="preserve">Olivier-Maxence Prosper</t>
  </si>
  <si>
    <t xml:space="preserve">Isaiah Stewart</t>
  </si>
  <si>
    <t xml:space="preserve">Harrison Barnes</t>
  </si>
  <si>
    <t xml:space="preserve">Tristan Da Silva</t>
  </si>
  <si>
    <t xml:space="preserve">Ausar Thompson</t>
  </si>
  <si>
    <t xml:space="preserve">Royce O'Neale</t>
  </si>
  <si>
    <t xml:space="preserve">Zach Collins</t>
  </si>
  <si>
    <t xml:space="preserve">Micah Potter</t>
  </si>
  <si>
    <t xml:space="preserve">Javon Small</t>
  </si>
  <si>
    <t xml:space="preserve">Zaccharie Risacher</t>
  </si>
  <si>
    <t xml:space="preserve">Daniel Gafford</t>
  </si>
  <si>
    <t xml:space="preserve">Jay Huff</t>
  </si>
  <si>
    <t xml:space="preserve">T.J. McConnell</t>
  </si>
  <si>
    <t xml:space="preserve">Svi Mykhailiuk</t>
  </si>
  <si>
    <t xml:space="preserve">Aaron Wiggins</t>
  </si>
  <si>
    <t xml:space="preserve">Daniss Jenkins</t>
  </si>
  <si>
    <t xml:space="preserve">Davion Mitchell</t>
  </si>
  <si>
    <t xml:space="preserve">Isaac Okoro</t>
  </si>
  <si>
    <t xml:space="preserve">Landry Shamet</t>
  </si>
  <si>
    <t xml:space="preserve">Marcus Smart</t>
  </si>
  <si>
    <t xml:space="preserve">Jaden Hardy</t>
  </si>
  <si>
    <t xml:space="preserve">Isaiah Hartenstein</t>
  </si>
  <si>
    <t xml:space="preserve">Sam Hauser</t>
  </si>
  <si>
    <t xml:space="preserve">Corey Kispert</t>
  </si>
  <si>
    <t xml:space="preserve">Taurean Prince</t>
  </si>
  <si>
    <t xml:space="preserve">Gui Santos</t>
  </si>
  <si>
    <t xml:space="preserve">Cam Whitmore</t>
  </si>
  <si>
    <t xml:space="preserve">Quenton Jackson</t>
  </si>
  <si>
    <t xml:space="preserve">Tristan Vukcevic</t>
  </si>
  <si>
    <t xml:space="preserve">Devin Carter</t>
  </si>
  <si>
    <t xml:space="preserve">Herbert Jones</t>
  </si>
  <si>
    <t xml:space="preserve">Nolan Traoré</t>
  </si>
  <si>
    <t xml:space="preserve">Danny Wolf</t>
  </si>
  <si>
    <t xml:space="preserve">John Poulakidas</t>
  </si>
  <si>
    <t xml:space="preserve">Payton Sandfort</t>
  </si>
  <si>
    <t xml:space="preserve">Cody Williams</t>
  </si>
  <si>
    <t xml:space="preserve">Justin Champagnie</t>
  </si>
  <si>
    <t xml:space="preserve">Jordan Goodwin</t>
  </si>
  <si>
    <t xml:space="preserve">Day'Ron Sharpe</t>
  </si>
  <si>
    <t xml:space="preserve">Jonas Valančiūnas</t>
  </si>
  <si>
    <t xml:space="preserve">Jordan Clarkson</t>
  </si>
  <si>
    <t xml:space="preserve">Nique Clifford</t>
  </si>
  <si>
    <t xml:space="preserve">Cason Wallace</t>
  </si>
  <si>
    <t xml:space="preserve">Jaden Ivey</t>
  </si>
  <si>
    <t xml:space="preserve">Vít Krejčí</t>
  </si>
  <si>
    <t xml:space="preserve">Simone Fontecchio</t>
  </si>
  <si>
    <t xml:space="preserve">Bones Hyland</t>
  </si>
  <si>
    <t xml:space="preserve">Brook Lopez</t>
  </si>
  <si>
    <t xml:space="preserve">Collin Murray-Boyles</t>
  </si>
  <si>
    <t xml:space="preserve">Luke Kennard</t>
  </si>
  <si>
    <t xml:space="preserve">Kentavious Caldwell-Pope</t>
  </si>
  <si>
    <t xml:space="preserve">Draymond Green</t>
  </si>
  <si>
    <t xml:space="preserve">Jared McCain</t>
  </si>
  <si>
    <t xml:space="preserve">Luguentz Dort</t>
  </si>
  <si>
    <t xml:space="preserve">Al Horford</t>
  </si>
  <si>
    <t xml:space="preserve">Josh Oduro</t>
  </si>
  <si>
    <t xml:space="preserve">Kadary Richmond</t>
  </si>
  <si>
    <t xml:space="preserve">Malachi Smith</t>
  </si>
  <si>
    <t xml:space="preserve">Bradley Beal</t>
  </si>
  <si>
    <t xml:space="preserve">LJ Cryer</t>
  </si>
  <si>
    <t xml:space="preserve">Ron Holland</t>
  </si>
  <si>
    <t xml:space="preserve">Chaney Johnson</t>
  </si>
  <si>
    <t xml:space="preserve">Jake LaRavia</t>
  </si>
  <si>
    <t xml:space="preserve">Sharife Cooper</t>
  </si>
  <si>
    <t xml:space="preserve">Luka Garza</t>
  </si>
  <si>
    <t xml:space="preserve">Bez Mbeng</t>
  </si>
  <si>
    <t xml:space="preserve">Bryce McGowens</t>
  </si>
  <si>
    <t xml:space="preserve">Gary Trent Jr.</t>
  </si>
  <si>
    <t xml:space="preserve">Mouhamadou Gueye</t>
  </si>
  <si>
    <t xml:space="preserve">DeJon Jarreau</t>
  </si>
  <si>
    <t xml:space="preserve">David Roddy</t>
  </si>
  <si>
    <t xml:space="preserve">Tre Scott</t>
  </si>
  <si>
    <t xml:space="preserve">Nate Williams</t>
  </si>
  <si>
    <t xml:space="preserve">Bruce Brown</t>
  </si>
  <si>
    <t xml:space="preserve">Moussa Diabaté</t>
  </si>
  <si>
    <t xml:space="preserve">Tyson Etienne</t>
  </si>
  <si>
    <t xml:space="preserve">Leonard Miller</t>
  </si>
  <si>
    <t xml:space="preserve">Walter Clayton</t>
  </si>
  <si>
    <t xml:space="preserve">Paul Reed</t>
  </si>
  <si>
    <t xml:space="preserve">Oscar Tshiebwe</t>
  </si>
  <si>
    <t xml:space="preserve">Dominick Barlow</t>
  </si>
  <si>
    <t xml:space="preserve">Quinten Post</t>
  </si>
  <si>
    <t xml:space="preserve">Ousmane Dieng</t>
  </si>
  <si>
    <t xml:space="preserve">Buddy Hield</t>
  </si>
  <si>
    <t xml:space="preserve">Ryan Kalkbrenner</t>
  </si>
  <si>
    <t xml:space="preserve">Vince Williams Jr.</t>
  </si>
  <si>
    <t xml:space="preserve">Jaxson Hayes</t>
  </si>
  <si>
    <t xml:space="preserve">Gary Payton II</t>
  </si>
  <si>
    <t xml:space="preserve">Ben Saraf</t>
  </si>
  <si>
    <t xml:space="preserve">Ja'Kobe Walter</t>
  </si>
  <si>
    <t xml:space="preserve">Josh Minott</t>
  </si>
  <si>
    <t xml:space="preserve">Taylor Hendricks</t>
  </si>
  <si>
    <t xml:space="preserve">Jose Alvarado</t>
  </si>
  <si>
    <t xml:space="preserve">Bogdan Bogdanović</t>
  </si>
  <si>
    <t xml:space="preserve">Caris LeVert</t>
  </si>
  <si>
    <t xml:space="preserve">Cameron Payne</t>
  </si>
  <si>
    <t xml:space="preserve">Jamir Watkins</t>
  </si>
  <si>
    <t xml:space="preserve">Kris Dunn</t>
  </si>
  <si>
    <t xml:space="preserve">Nikola Jović</t>
  </si>
  <si>
    <t xml:space="preserve">Kobe Sanders</t>
  </si>
  <si>
    <t xml:space="preserve">Jalen Slawson</t>
  </si>
  <si>
    <t xml:space="preserve">Terance Mann</t>
  </si>
  <si>
    <t xml:space="preserve">Pat Spencer</t>
  </si>
  <si>
    <t xml:space="preserve">Julian Strawther</t>
  </si>
  <si>
    <t xml:space="preserve">Jaylin Williams</t>
  </si>
  <si>
    <t xml:space="preserve">Leaky Black</t>
  </si>
  <si>
    <t xml:space="preserve">Seth Curry</t>
  </si>
  <si>
    <t xml:space="preserve">Ben Sheppard</t>
  </si>
  <si>
    <t xml:space="preserve">Lawson Lovering</t>
  </si>
  <si>
    <t xml:space="preserve">Ethan Thompson</t>
  </si>
  <si>
    <t xml:space="preserve">Grant Williams</t>
  </si>
  <si>
    <t xml:space="preserve">Patrick Williams</t>
  </si>
  <si>
    <t xml:space="preserve">Javonte Green</t>
  </si>
  <si>
    <t xml:space="preserve">Moritz Wagner</t>
  </si>
  <si>
    <t xml:space="preserve">MarJon Beauchamp</t>
  </si>
  <si>
    <t xml:space="preserve">Elijah Harkless</t>
  </si>
  <si>
    <t xml:space="preserve">Keon Ellis</t>
  </si>
  <si>
    <t xml:space="preserve">Isaiah Jackson</t>
  </si>
  <si>
    <t xml:space="preserve">Cole Anthony</t>
  </si>
  <si>
    <t xml:space="preserve">Kevin Love</t>
  </si>
  <si>
    <t xml:space="preserve">Robert Williams</t>
  </si>
  <si>
    <t xml:space="preserve">Ryan Nembhard</t>
  </si>
  <si>
    <t xml:space="preserve">Jamal Shead</t>
  </si>
  <si>
    <t xml:space="preserve">Oso Ighodaro</t>
  </si>
  <si>
    <t xml:space="preserve">Luke Kornet</t>
  </si>
  <si>
    <t xml:space="preserve">Drake Powell</t>
  </si>
  <si>
    <t xml:space="preserve">Trendon Watford</t>
  </si>
  <si>
    <t xml:space="preserve">Kenrich Williams</t>
  </si>
  <si>
    <t xml:space="preserve">Jevon Carter</t>
  </si>
  <si>
    <t xml:space="preserve">Will Richard</t>
  </si>
  <si>
    <t xml:space="preserve">Jalen Wilson</t>
  </si>
  <si>
    <t xml:space="preserve">Rob Dillingham</t>
  </si>
  <si>
    <t xml:space="preserve">Tyrese Martin</t>
  </si>
  <si>
    <t xml:space="preserve">Kyle Anderson</t>
  </si>
  <si>
    <t xml:space="preserve">Thomas Bryant</t>
  </si>
  <si>
    <t xml:space="preserve">Alex Caruso</t>
  </si>
  <si>
    <t xml:space="preserve">Kasparas Jakučionis</t>
  </si>
  <si>
    <t xml:space="preserve">Jahmai Mashack</t>
  </si>
  <si>
    <t xml:space="preserve">Nick Smith Jr.</t>
  </si>
  <si>
    <t xml:space="preserve">Mac McClung</t>
  </si>
  <si>
    <t xml:space="preserve">Gradey Dick</t>
  </si>
  <si>
    <t xml:space="preserve">Justin Edwards</t>
  </si>
  <si>
    <t xml:space="preserve">Hayden Gray</t>
  </si>
  <si>
    <t xml:space="preserve">Tidjane Salaün</t>
  </si>
  <si>
    <t xml:space="preserve">Goga Bitadze</t>
  </si>
  <si>
    <t xml:space="preserve">Charles Bassey</t>
  </si>
  <si>
    <t xml:space="preserve">Kobe Brown</t>
  </si>
  <si>
    <t xml:space="preserve">Nick Richards</t>
  </si>
  <si>
    <t xml:space="preserve">Steven Adams</t>
  </si>
  <si>
    <t xml:space="preserve">Branden Carlson</t>
  </si>
  <si>
    <t xml:space="preserve">Ryan Dunn</t>
  </si>
  <si>
    <t xml:space="preserve">Anthony Gill</t>
  </si>
  <si>
    <t xml:space="preserve">Kris Murray</t>
  </si>
  <si>
    <t xml:space="preserve">Matisse Thybulle</t>
  </si>
  <si>
    <t xml:space="preserve">Nae'Qwan Tomlin</t>
  </si>
  <si>
    <t xml:space="preserve">Dean Wade</t>
  </si>
  <si>
    <t xml:space="preserve">Jamaree Bouyea</t>
  </si>
  <si>
    <t xml:space="preserve">E.J. Liddell</t>
  </si>
  <si>
    <t xml:space="preserve">Karlo Matković</t>
  </si>
  <si>
    <t xml:space="preserve">Doug McDermott</t>
  </si>
  <si>
    <t xml:space="preserve">Yves Missi</t>
  </si>
  <si>
    <t xml:space="preserve">Guerschon Yabusele</t>
  </si>
  <si>
    <t xml:space="preserve">Terrence Shannon Jr.</t>
  </si>
  <si>
    <t xml:space="preserve">Dru Smith</t>
  </si>
  <si>
    <t xml:space="preserve">Eric Gordon</t>
  </si>
  <si>
    <t xml:space="preserve">Killian Hayes</t>
  </si>
  <si>
    <t xml:space="preserve">Aaron Holiday</t>
  </si>
  <si>
    <t xml:space="preserve">Jett Howard</t>
  </si>
  <si>
    <t xml:space="preserve">Spencer Jones</t>
  </si>
  <si>
    <t xml:space="preserve">Tre Mann</t>
  </si>
  <si>
    <t xml:space="preserve">Baylor Scheierman</t>
  </si>
  <si>
    <t xml:space="preserve">Jamal Cain</t>
  </si>
  <si>
    <t xml:space="preserve">Dylan Cardwell</t>
  </si>
  <si>
    <t xml:space="preserve">Haywood Highsmith</t>
  </si>
  <si>
    <t xml:space="preserve">Sion James</t>
  </si>
  <si>
    <t xml:space="preserve">Pete Nance</t>
  </si>
  <si>
    <t xml:space="preserve">Tyrese Proctor</t>
  </si>
  <si>
    <t xml:space="preserve">Jordan Walsh</t>
  </si>
  <si>
    <t xml:space="preserve">Rayan Rupert</t>
  </si>
  <si>
    <t xml:space="preserve">Trey Alexander</t>
  </si>
  <si>
    <t xml:space="preserve">Drew Eubanks</t>
  </si>
  <si>
    <t xml:space="preserve">Andersson Garcia</t>
  </si>
  <si>
    <t xml:space="preserve">Garrison Mathews</t>
  </si>
  <si>
    <t xml:space="preserve">Asa Newell</t>
  </si>
  <si>
    <t xml:space="preserve">Jalen Pickett</t>
  </si>
  <si>
    <t xml:space="preserve">Marcus Sasser</t>
  </si>
  <si>
    <t xml:space="preserve">Nikola Topić</t>
  </si>
  <si>
    <t xml:space="preserve">Ochai Agbaji</t>
  </si>
  <si>
    <t xml:space="preserve">Sidy Cissoko</t>
  </si>
  <si>
    <t xml:space="preserve">Johnny Furphy</t>
  </si>
  <si>
    <t xml:space="preserve">Jordan Hawkins</t>
  </si>
  <si>
    <t xml:space="preserve">Jericho Sims</t>
  </si>
  <si>
    <t xml:space="preserve">Adem Bona</t>
  </si>
  <si>
    <t xml:space="preserve">Blake Wesley</t>
  </si>
  <si>
    <t xml:space="preserve">Tyler Smith</t>
  </si>
  <si>
    <t xml:space="preserve">KJ Simpson</t>
  </si>
  <si>
    <t xml:space="preserve">Lonzo Ball</t>
  </si>
  <si>
    <t xml:space="preserve">Malaki Branham</t>
  </si>
  <si>
    <t xml:space="preserve">Zyon Pullin</t>
  </si>
  <si>
    <t xml:space="preserve">Jeremiah Robinson-Earl</t>
  </si>
  <si>
    <t xml:space="preserve">PJ Hall</t>
  </si>
  <si>
    <t xml:space="preserve">Moussa Cisse</t>
  </si>
  <si>
    <t xml:space="preserve">Mike Conley</t>
  </si>
  <si>
    <t xml:space="preserve">Josh Okogie</t>
  </si>
  <si>
    <t xml:space="preserve">Taelon Peter</t>
  </si>
  <si>
    <t xml:space="preserve">Craig Porter Jr.</t>
  </si>
  <si>
    <t xml:space="preserve">John Konchar</t>
  </si>
  <si>
    <t xml:space="preserve">SIN EQUIPO</t>
  </si>
  <si>
    <t xml:space="preserve">Salió (sin equipo confirmado)</t>
  </si>
  <si>
    <t xml:space="preserve">RayJ Dennis</t>
  </si>
  <si>
    <t xml:space="preserve">Gabe Vincent</t>
  </si>
  <si>
    <t xml:space="preserve">Mouhamed Gueye</t>
  </si>
  <si>
    <t xml:space="preserve">Kam Jones</t>
  </si>
  <si>
    <t xml:space="preserve">DeAndre Jordan</t>
  </si>
  <si>
    <t xml:space="preserve">Tyler Kolek</t>
  </si>
  <si>
    <t xml:space="preserve">Jase Richardson</t>
  </si>
  <si>
    <t xml:space="preserve">Jarred Vanderbilt</t>
  </si>
  <si>
    <t xml:space="preserve">Keshon Gilbert</t>
  </si>
  <si>
    <t xml:space="preserve">Rasheer Fleming</t>
  </si>
  <si>
    <t xml:space="preserve">Josh Green</t>
  </si>
  <si>
    <t xml:space="preserve">Keshad Johnson</t>
  </si>
  <si>
    <t xml:space="preserve">Yanic Konan Niederhäuser</t>
  </si>
  <si>
    <t xml:space="preserve">Skal Labissière</t>
  </si>
  <si>
    <t xml:space="preserve">Dereck Lively II</t>
  </si>
  <si>
    <t xml:space="preserve">Liam McNeeley</t>
  </si>
  <si>
    <t xml:space="preserve">Grant Nelson</t>
  </si>
  <si>
    <t xml:space="preserve">Micah Peavy</t>
  </si>
  <si>
    <t xml:space="preserve">Jabari Walker</t>
  </si>
  <si>
    <t xml:space="preserve">Carter Bryant</t>
  </si>
  <si>
    <t xml:space="preserve">Ron Harper Jr.</t>
  </si>
  <si>
    <t xml:space="preserve">Dalton Knecht</t>
  </si>
  <si>
    <t xml:space="preserve">A.J. Lawson</t>
  </si>
  <si>
    <t xml:space="preserve">Tristan Enaruna</t>
  </si>
  <si>
    <t xml:space="preserve">Nicolas Batum</t>
  </si>
  <si>
    <t xml:space="preserve">Tony Bradley</t>
  </si>
  <si>
    <t xml:space="preserve">Jaylen Clark</t>
  </si>
  <si>
    <t xml:space="preserve">Brandon Clarke</t>
  </si>
  <si>
    <t xml:space="preserve">Riley Minix</t>
  </si>
  <si>
    <t xml:space="preserve">Joan Beringer</t>
  </si>
  <si>
    <t xml:space="preserve">Hugo González</t>
  </si>
  <si>
    <t xml:space="preserve">Caleb Martin</t>
  </si>
  <si>
    <t xml:space="preserve">Koby Brea</t>
  </si>
  <si>
    <t xml:space="preserve">Clint Capela</t>
  </si>
  <si>
    <t xml:space="preserve">Noah Penda</t>
  </si>
  <si>
    <t xml:space="preserve">Omer Yurtseven</t>
  </si>
  <si>
    <t xml:space="preserve">Patrick Baldwin Jr.</t>
  </si>
  <si>
    <t xml:space="preserve">Dalen Terry</t>
  </si>
  <si>
    <t xml:space="preserve">DaRon Holmes</t>
  </si>
  <si>
    <t xml:space="preserve">Larry Nance Jr.</t>
  </si>
  <si>
    <t xml:space="preserve">Zeke Nnaji</t>
  </si>
  <si>
    <t xml:space="preserve">Tolu Smith</t>
  </si>
  <si>
    <t xml:space="preserve">Mohamed Diawara</t>
  </si>
  <si>
    <t xml:space="preserve">Myron Gardner</t>
  </si>
  <si>
    <t xml:space="preserve">Olivier Sarr</t>
  </si>
  <si>
    <t xml:space="preserve">Keaton Wallace</t>
  </si>
  <si>
    <t xml:space="preserve">Trayce Jackson-Davis</t>
  </si>
  <si>
    <t xml:space="preserve">Taj Gibson</t>
  </si>
  <si>
    <t xml:space="preserve">Yuki Kawamura</t>
  </si>
  <si>
    <t xml:space="preserve">Drew Timme</t>
  </si>
  <si>
    <t xml:space="preserve">AJ Johnson</t>
  </si>
  <si>
    <t xml:space="preserve">Dorian Finney-Smith</t>
  </si>
  <si>
    <t xml:space="preserve">Enrique Freeman</t>
  </si>
  <si>
    <t xml:space="preserve">Malevy Leons</t>
  </si>
  <si>
    <t xml:space="preserve">Dwight Powell</t>
  </si>
  <si>
    <t xml:space="preserve">Isaiah Stevens</t>
  </si>
  <si>
    <t xml:space="preserve">James Wiseman</t>
  </si>
  <si>
    <t xml:space="preserve">Amir Coffey</t>
  </si>
  <si>
    <t xml:space="preserve">Alex Antetokounmpo</t>
  </si>
  <si>
    <t xml:space="preserve">Kelly Olynyk</t>
  </si>
  <si>
    <t xml:space="preserve">Jamison Battle</t>
  </si>
  <si>
    <t xml:space="preserve">Miles Kelly</t>
  </si>
  <si>
    <t xml:space="preserve">Mark Sears</t>
  </si>
  <si>
    <t xml:space="preserve">Tyus Jones</t>
  </si>
  <si>
    <t xml:space="preserve">CJ Huntley</t>
  </si>
  <si>
    <t xml:space="preserve">Chris Livingston</t>
  </si>
  <si>
    <t xml:space="preserve">Khaman Maluach</t>
  </si>
  <si>
    <t xml:space="preserve">Emanuel Miller</t>
  </si>
  <si>
    <t xml:space="preserve">Monte Morris</t>
  </si>
  <si>
    <t xml:space="preserve">Julian Phillips</t>
  </si>
  <si>
    <t xml:space="preserve">Kobe Bufkin</t>
  </si>
  <si>
    <t xml:space="preserve">Bronny James</t>
  </si>
  <si>
    <t xml:space="preserve">Curtis Jones</t>
  </si>
  <si>
    <t xml:space="preserve">David Jones García</t>
  </si>
  <si>
    <t xml:space="preserve">Chris Paul</t>
  </si>
  <si>
    <t xml:space="preserve">Duop Reath</t>
  </si>
  <si>
    <t xml:space="preserve">Cam Christie</t>
  </si>
  <si>
    <t xml:space="preserve">Kevon Looney</t>
  </si>
  <si>
    <t xml:space="preserve">Norchad Omier</t>
  </si>
  <si>
    <t xml:space="preserve">Jae'Sean Tate</t>
  </si>
  <si>
    <t xml:space="preserve">Rocco Zikarsky</t>
  </si>
  <si>
    <t xml:space="preserve">Christian Koloko</t>
  </si>
  <si>
    <t xml:space="preserve">Gary Harris</t>
  </si>
  <si>
    <t xml:space="preserve">Antonio Reeves</t>
  </si>
  <si>
    <t xml:space="preserve">Pat Connaughton</t>
  </si>
  <si>
    <t xml:space="preserve">Jonathan Isaac</t>
  </si>
  <si>
    <t xml:space="preserve">Mo Bamba</t>
  </si>
  <si>
    <t xml:space="preserve">JD Davison</t>
  </si>
  <si>
    <t xml:space="preserve">John Tonje</t>
  </si>
  <si>
    <t xml:space="preserve">Hunter Dickinson</t>
  </si>
  <si>
    <t xml:space="preserve">Andre Jackson Jr.</t>
  </si>
  <si>
    <t xml:space="preserve">Chaz Lanier</t>
  </si>
  <si>
    <t xml:space="preserve">Kevin McCullar Jr.</t>
  </si>
  <si>
    <t xml:space="preserve">Lachlan Olbrich</t>
  </si>
  <si>
    <t xml:space="preserve">Lindy Waters III</t>
  </si>
  <si>
    <t xml:space="preserve">Chris Boucher</t>
  </si>
  <si>
    <t xml:space="preserve">Caleb Houstan</t>
  </si>
  <si>
    <t xml:space="preserve">Luke Travers</t>
  </si>
  <si>
    <t xml:space="preserve">Jeff Green</t>
  </si>
  <si>
    <t xml:space="preserve">Yang Hansen</t>
  </si>
  <si>
    <t xml:space="preserve">Ariel Hukporti</t>
  </si>
  <si>
    <t xml:space="preserve">Alijah Martin</t>
  </si>
  <si>
    <t xml:space="preserve">Hunter Tyson</t>
  </si>
  <si>
    <t xml:space="preserve">Chris Youngblood</t>
  </si>
  <si>
    <t xml:space="preserve">Dalano Banton</t>
  </si>
  <si>
    <t xml:space="preserve">Isaiah Crawford</t>
  </si>
  <si>
    <t xml:space="preserve">Trentyn Flowers</t>
  </si>
  <si>
    <t xml:space="preserve">Colby Jones</t>
  </si>
  <si>
    <t xml:space="preserve">Johnny Juzang</t>
  </si>
  <si>
    <t xml:space="preserve">Jayson Kent</t>
  </si>
  <si>
    <t xml:space="preserve">Maxi Kleber</t>
  </si>
  <si>
    <t xml:space="preserve">Jordan McLaughlin</t>
  </si>
  <si>
    <t xml:space="preserve">Alex Morales</t>
  </si>
  <si>
    <t xml:space="preserve">Sean Pedulla</t>
  </si>
  <si>
    <t xml:space="preserve">Adou Thiero</t>
  </si>
  <si>
    <t xml:space="preserve">Bobi Klintman</t>
  </si>
  <si>
    <t xml:space="preserve">Isaiah Livers</t>
  </si>
  <si>
    <t xml:space="preserve">Cody Martin</t>
  </si>
  <si>
    <t xml:space="preserve">Orlando Robinson</t>
  </si>
  <si>
    <t xml:space="preserve">Jahmir Young</t>
  </si>
  <si>
    <t xml:space="preserve">Brooks Barnhizer</t>
  </si>
  <si>
    <t xml:space="preserve">Pacôme Dadiet</t>
  </si>
  <si>
    <t xml:space="preserve">Wendell Moore Jr.</t>
  </si>
  <si>
    <t xml:space="preserve">Mason Plumlee</t>
  </si>
  <si>
    <t xml:space="preserve">Harrison Ingram</t>
  </si>
  <si>
    <t xml:space="preserve">Jacob Toppin</t>
  </si>
  <si>
    <t xml:space="preserve">Xavier Tillman Sr.</t>
  </si>
  <si>
    <t xml:space="preserve">Buddy Boeheim</t>
  </si>
  <si>
    <t xml:space="preserve">Joe Ingles</t>
  </si>
  <si>
    <t xml:space="preserve">Jonathan Mogbo</t>
  </si>
  <si>
    <t xml:space="preserve">Thanasis Antetokounmpo</t>
  </si>
  <si>
    <t xml:space="preserve">Amari Williams</t>
  </si>
  <si>
    <t xml:space="preserve">Isaac Jones</t>
  </si>
  <si>
    <t xml:space="preserve">Colin Castleton</t>
  </si>
  <si>
    <t xml:space="preserve">Nigel Hayes-Davis</t>
  </si>
  <si>
    <t xml:space="preserve">Dillon Jones</t>
  </si>
  <si>
    <t xml:space="preserve">TyTy Washington Jr.</t>
  </si>
  <si>
    <t xml:space="preserve">Javonte Cooke</t>
  </si>
  <si>
    <t xml:space="preserve">Kyle Lowry</t>
  </si>
  <si>
    <t xml:space="preserve">Trey Jemison</t>
  </si>
  <si>
    <t xml:space="preserve">Trevor Keels</t>
  </si>
  <si>
    <t xml:space="preserve">Hunter Sallis</t>
  </si>
  <si>
    <t xml:space="preserve">Dario Šarić</t>
  </si>
  <si>
    <t xml:space="preserve">Stanley Umude</t>
  </si>
  <si>
    <t xml:space="preserve">Bismack Biyombo</t>
  </si>
  <si>
    <t xml:space="preserve">Johni Broome</t>
  </si>
  <si>
    <t xml:space="preserve">N'Faly Dante</t>
  </si>
  <si>
    <t xml:space="preserve">Markelle Fultz</t>
  </si>
  <si>
    <t xml:space="preserve">Vladislav Goldin</t>
  </si>
  <si>
    <t xml:space="preserve">Chris Mañon</t>
  </si>
  <si>
    <t xml:space="preserve">Drew Peterson</t>
  </si>
  <si>
    <t xml:space="preserve">Garrett Temple</t>
  </si>
  <si>
    <t xml:space="preserve">Max Shulga</t>
  </si>
  <si>
    <t xml:space="preserve">Jahmyl Telfort</t>
  </si>
  <si>
    <t xml:space="preserve">Darius Brown II</t>
  </si>
  <si>
    <t xml:space="preserve">Noa Essengue</t>
  </si>
  <si>
    <t xml:space="preserve">Tosan Evbuomwan</t>
  </si>
  <si>
    <t xml:space="preserve">Chucky Hepburn</t>
  </si>
  <si>
    <t xml:space="preserve">Registro de jugadas (para medir si el modelo acierta lo que dice)</t>
  </si>
  <si>
    <t xml:space="preserve">Anota cada jugada que analices (aunque no apuestes). Pega la 'P modelo' de ese lado, y al terminar el partido escribe el resultado real.</t>
  </si>
  <si>
    <t xml:space="preserve">Jugadas resueltas</t>
  </si>
  <si>
    <t xml:space="preserve">Error de Brier (menor = mejor; 0,25 = igual que lanzar una moneda)</t>
  </si>
  <si>
    <t xml:space="preserve">% de acierto real</t>
  </si>
  <si>
    <t xml:space="preserve">Si % de acierto real ≈ prob. media del modelo, está bien calibrado.</t>
  </si>
  <si>
    <t xml:space="preserve">Prob. media que daba el modelo</t>
  </si>
  <si>
    <t xml:space="preserve">Fecha</t>
  </si>
  <si>
    <t xml:space="preserve">Lado (Over/Under)</t>
  </si>
  <si>
    <t xml:space="preserve">P modelo (de ese lado)</t>
  </si>
  <si>
    <t xml:space="preserve">Resultado real</t>
  </si>
  <si>
    <t xml:space="preserve">Acertó (1/0)</t>
  </si>
  <si>
    <t xml:space="preserve">Brier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</si>
</sst>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00"/>
    <numFmt numFmtId="168" formatCode="General"/>
    <numFmt numFmtId="169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9" min="8" style="0" width="16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2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s">
        <v>2</v>
      </c>
    </row>
    <row r="4" customFormat="false" ht="15" hidden="false" customHeight="false" outlineLevel="0" collapsed="false">
      <c r="A4" s="0" t="s">
        <v>3</v>
      </c>
      <c r="B4" s="2" t="s">
        <v>4</v>
      </c>
    </row>
    <row r="5" customFormat="false" ht="15" hidden="false" customHeight="false" outlineLevel="0" collapsed="false">
      <c r="A5" s="0" t="s">
        <v>5</v>
      </c>
      <c r="B5" s="3"/>
    </row>
    <row r="7" customFormat="false" ht="15" hidden="false" customHeight="false" outlineLevel="0" collapsed="false">
      <c r="A7" s="0" t="s">
        <v>6</v>
      </c>
      <c r="B7" s="0" t="str">
        <f aca="false">IF(B5&lt;&gt;"",B5,INDEX(Jugadores!$E$2:$E$583,MATCH(B3,Jugadores!$A$2:$A$583,0)))</f>
        <v>PG</v>
      </c>
    </row>
    <row r="8" customFormat="false" ht="15" hidden="false" customHeight="false" outlineLevel="0" collapsed="false">
      <c r="A8" s="0" t="s">
        <v>7</v>
      </c>
      <c r="B8" s="0" t="str">
        <f aca="false">INDEX(Jugadores!$C$2:$C$583,MATCH(B3,Jugadores!$A$2:$A$583,0))</f>
        <v>LAL</v>
      </c>
    </row>
    <row r="9" customFormat="false" ht="15" hidden="false" customHeight="false" outlineLevel="0" collapsed="false">
      <c r="A9" s="0" t="s">
        <v>8</v>
      </c>
      <c r="B9" s="4" t="n">
        <f aca="false">INDEX(Equipos!$C$2:$C$31,MATCH(B4,Equipos!$A$2:$A$31,0))</f>
        <v>0.627</v>
      </c>
    </row>
    <row r="11" customFormat="false" ht="15" hidden="false" customHeight="false" outlineLevel="0" collapsed="false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</row>
    <row r="12" customFormat="false" ht="15" hidden="false" customHeight="false" outlineLevel="0" collapsed="false">
      <c r="A12" s="0" t="s">
        <v>16</v>
      </c>
      <c r="B12" s="6" t="n">
        <f aca="false">INDEX(Jugadores!$O$2:$O$583,MATCH($B$3,Jugadores!$A$2:$A$583,0))</f>
        <v>34.8</v>
      </c>
      <c r="C12" s="7" t="n">
        <f aca="false">INDEX(Factor_DvP!$H$2:$H$151,MATCH($B$4&amp;"|"&amp;$B$7,Factor_DvP!$A$2:$A$151,0))</f>
        <v>0.990056254519161</v>
      </c>
      <c r="D12" s="8" t="n">
        <f aca="false">ROUND(B12*C12,1)</f>
        <v>34.5</v>
      </c>
      <c r="E12" s="3"/>
      <c r="F12" s="0" t="str">
        <f aca="false">IF(E12="","",ROUND(D12-E12,1))</f>
        <v/>
      </c>
      <c r="G12" s="0" t="str">
        <f aca="false">IF(E12="","",IF(F12&gt;=0,"Over","Under"))</f>
        <v/>
      </c>
    </row>
    <row r="13" customFormat="false" ht="15" hidden="false" customHeight="false" outlineLevel="0" collapsed="false">
      <c r="A13" s="0" t="s">
        <v>17</v>
      </c>
      <c r="B13" s="6" t="n">
        <f aca="false">INDEX(Jugadores!$P$2:$P$583,MATCH($B$3,Jugadores!$A$2:$A$583,0))</f>
        <v>7.93</v>
      </c>
      <c r="C13" s="7" t="n">
        <f aca="false">INDEX(Factor_DvP!$I$2:$I$151,MATCH($B$4&amp;"|"&amp;$B$7,Factor_DvP!$A$2:$A$151,0))</f>
        <v>0.99505</v>
      </c>
      <c r="D13" s="8" t="n">
        <f aca="false">ROUND(B13*C13,1)</f>
        <v>7.9</v>
      </c>
      <c r="E13" s="3"/>
      <c r="F13" s="0" t="str">
        <f aca="false">IF(E13="","",ROUND(D13-E13,1))</f>
        <v/>
      </c>
      <c r="G13" s="0" t="str">
        <f aca="false">IF(E13="","",IF(F13&gt;=0,"Over","Under"))</f>
        <v/>
      </c>
    </row>
    <row r="14" customFormat="false" ht="15" hidden="false" customHeight="false" outlineLevel="0" collapsed="false">
      <c r="A14" s="0" t="s">
        <v>18</v>
      </c>
      <c r="B14" s="6" t="n">
        <f aca="false">INDEX(Jugadores!$Q$2:$Q$583,MATCH($B$3,Jugadores!$A$2:$A$583,0))</f>
        <v>8.7</v>
      </c>
      <c r="C14" s="7" t="n">
        <f aca="false">INDEX(Factor_DvP!$J$2:$J$151,MATCH($B$4&amp;"|"&amp;$B$7,Factor_DvP!$A$2:$A$151,0))</f>
        <v>1.04022950819672</v>
      </c>
      <c r="D14" s="8" t="n">
        <f aca="false">ROUND(B14*C14,1)</f>
        <v>9</v>
      </c>
      <c r="E14" s="3" t="n">
        <v>8.5</v>
      </c>
      <c r="F14" s="8" t="n">
        <f aca="false">IF(E14="","",ROUND(D14-E14,1))</f>
        <v>0.5</v>
      </c>
      <c r="G14" s="0" t="str">
        <f aca="false">IF(E14="","",IF(F14&gt;=0,"Over","Under"))</f>
        <v>Over</v>
      </c>
    </row>
    <row r="15" customFormat="false" ht="15" hidden="false" customHeight="false" outlineLevel="0" collapsed="false">
      <c r="A15" s="0" t="s">
        <v>19</v>
      </c>
      <c r="B15" s="6" t="n">
        <f aca="false">SUM(B12:B14)</f>
        <v>51.43</v>
      </c>
      <c r="C15" s="8" t="n">
        <f aca="false">ROUND(D15/B15,3)</f>
        <v>0.999</v>
      </c>
      <c r="D15" s="8" t="n">
        <f aca="false">SUM(D12:D14)</f>
        <v>51.4</v>
      </c>
      <c r="E15" s="3"/>
      <c r="F15" s="0" t="str">
        <f aca="false">IF(E15="","",ROUND(D15-E15,1))</f>
        <v/>
      </c>
      <c r="G15" s="0" t="str">
        <f aca="false">IF(E15="","",IF(F15&gt;=0,"Over","Under"))</f>
        <v/>
      </c>
    </row>
    <row r="17" customFormat="false" ht="15" hidden="false" customHeight="false" outlineLevel="0" collapsed="false">
      <c r="A17" s="9" t="s">
        <v>20</v>
      </c>
    </row>
    <row r="18" customFormat="false" ht="15" hidden="false" customHeight="false" outlineLevel="0" collapsed="false">
      <c r="A18" s="0" t="s">
        <v>21</v>
      </c>
    </row>
    <row r="20" customFormat="false" ht="15" hidden="false" customHeight="false" outlineLevel="0" collapsed="false">
      <c r="A20" s="10" t="s">
        <v>22</v>
      </c>
    </row>
    <row r="21" customFormat="false" ht="15" hidden="false" customHeight="false" outlineLevel="0" collapsed="false">
      <c r="A21" s="11" t="s">
        <v>23</v>
      </c>
    </row>
    <row r="22" customFormat="false" ht="45" hidden="false" customHeight="true" outlineLevel="0" collapsed="false">
      <c r="A22" s="5" t="s">
        <v>9</v>
      </c>
      <c r="B22" s="5" t="s">
        <v>12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28</v>
      </c>
      <c r="H22" s="5" t="s">
        <v>29</v>
      </c>
      <c r="I22" s="5" t="s">
        <v>30</v>
      </c>
      <c r="J22" s="5" t="s">
        <v>31</v>
      </c>
      <c r="K22" s="5" t="s">
        <v>32</v>
      </c>
      <c r="L22" s="5" t="s">
        <v>33</v>
      </c>
      <c r="M22" s="5" t="s">
        <v>34</v>
      </c>
    </row>
    <row r="23" customFormat="false" ht="15" hidden="false" customHeight="false" outlineLevel="0" collapsed="false">
      <c r="A23" s="0" t="s">
        <v>16</v>
      </c>
      <c r="B23" s="6" t="n">
        <f aca="false">D12</f>
        <v>34.5</v>
      </c>
      <c r="C23" s="0" t="str">
        <f aca="false">IF(E12="","",E12)</f>
        <v/>
      </c>
      <c r="D23" s="12"/>
      <c r="E23" s="12"/>
      <c r="F23" s="13" t="str">
        <f aca="false">IF(OR($C23="",$B23=""),"",1-NORMDIST(INT($C23)+0.5,$B23,Parametros!$B$6*$B23,TRUE()))</f>
        <v/>
      </c>
      <c r="G23" s="13" t="str">
        <f aca="false">IF(OR($C23="",$B23=""),"",NORMDIST(-INT(-$C23)-0.5,$B23,Parametros!$B$6*$B23,TRUE()))</f>
        <v/>
      </c>
      <c r="H23" s="13" t="str">
        <f aca="false">IF($D23="","",1/$D23)</f>
        <v/>
      </c>
      <c r="I23" s="13" t="str">
        <f aca="false">IF(OR($D23="",$E23=""),"",(1/$D23)/((1/$D23)+(1/$E23)))</f>
        <v/>
      </c>
      <c r="J23" s="13" t="str">
        <f aca="false">IF(OR($F23="",$I23=""),"",$F23-$I23)</f>
        <v/>
      </c>
      <c r="K23" s="13" t="str">
        <f aca="false">IF(OR($F23="",$D23="",$G23=""),"",$F23*($D23-1)-$G23)</f>
        <v/>
      </c>
      <c r="L23" s="13" t="str">
        <f aca="false">IF(OR($G23="",$E23="",$F23=""),"",$G23*($E23-1)-$F23)</f>
        <v/>
      </c>
      <c r="M23" s="0" t="str">
        <f aca="false">IF(OR($K23="",$L23=""),"",IF(MAX($K23,$L23)&gt;=Parametros!$B$10,IF($K23&gt;=$L23,"Over","Under"),"Sin ventaja suficiente"))</f>
        <v/>
      </c>
    </row>
    <row r="24" customFormat="false" ht="15" hidden="false" customHeight="false" outlineLevel="0" collapsed="false">
      <c r="A24" s="0" t="s">
        <v>17</v>
      </c>
      <c r="B24" s="6" t="n">
        <f aca="false">D13</f>
        <v>7.9</v>
      </c>
      <c r="C24" s="0" t="str">
        <f aca="false">IF(E13="","",E13)</f>
        <v/>
      </c>
      <c r="D24" s="12"/>
      <c r="E24" s="12"/>
      <c r="F24" s="13" t="str">
        <f aca="false">IF(OR($C24="",$B24=""),"",1-BETADIST(1/Parametros!$B$7,$B24/(Parametros!$B$7-1),INT($C24)+1))</f>
        <v/>
      </c>
      <c r="G24" s="13" t="str">
        <f aca="false">IF(OR($C24="",$B24=""),"",BETADIST(1/Parametros!$B$7,$B24/(Parametros!$B$7-1),-INT(-$C24)))</f>
        <v/>
      </c>
      <c r="H24" s="13" t="str">
        <f aca="false">IF($D24="","",1/$D24)</f>
        <v/>
      </c>
      <c r="I24" s="13" t="str">
        <f aca="false">IF(OR($D24="",$E24=""),"",(1/$D24)/((1/$D24)+(1/$E24)))</f>
        <v/>
      </c>
      <c r="J24" s="13" t="str">
        <f aca="false">IF(OR($F24="",$I24=""),"",$F24-$I24)</f>
        <v/>
      </c>
      <c r="K24" s="13" t="str">
        <f aca="false">IF(OR($F24="",$D24="",$G24=""),"",$F24*($D24-1)-$G24)</f>
        <v/>
      </c>
      <c r="L24" s="13" t="str">
        <f aca="false">IF(OR($G24="",$E24="",$F24=""),"",$G24*($E24-1)-$F24)</f>
        <v/>
      </c>
      <c r="M24" s="0" t="str">
        <f aca="false">IF(OR($K24="",$L24=""),"",IF(MAX($K24,$L24)&gt;=Parametros!$B$10,IF($K24&gt;=$L24,"Over","Under"),"Sin ventaja suficiente"))</f>
        <v/>
      </c>
    </row>
    <row r="25" customFormat="false" ht="15" hidden="false" customHeight="false" outlineLevel="0" collapsed="false">
      <c r="A25" s="0" t="s">
        <v>18</v>
      </c>
      <c r="B25" s="6" t="n">
        <f aca="false">D14</f>
        <v>9</v>
      </c>
      <c r="C25" s="8" t="n">
        <f aca="false">IF(E14="","",E14)</f>
        <v>8.5</v>
      </c>
      <c r="D25" s="12" t="n">
        <v>1.87</v>
      </c>
      <c r="E25" s="12" t="n">
        <v>1.95</v>
      </c>
      <c r="F25" s="13" t="n">
        <f aca="false">IF(OR($C25="",$B25=""),"",1-BETADIST(1/Parametros!$B$8,$B25/(Parametros!$B$8-1),INT($C25)+1))</f>
        <v>0.522581909967598</v>
      </c>
      <c r="G25" s="13" t="n">
        <f aca="false">IF(OR($C25="",$B25=""),"",BETADIST(1/Parametros!$B$8,$B25/(Parametros!$B$8-1),-INT(-$C25)))</f>
        <v>0.477418090032402</v>
      </c>
      <c r="H25" s="13" t="n">
        <f aca="false">IF($D25="","",1/$D25)</f>
        <v>0.53475935828877</v>
      </c>
      <c r="I25" s="13" t="n">
        <f aca="false">IF(OR($D25="",$E25=""),"",(1/$D25)/((1/$D25)+(1/$E25)))</f>
        <v>0.510471204188482</v>
      </c>
      <c r="J25" s="13" t="n">
        <f aca="false">IF(OR($F25="",$I25=""),"",$F25-$I25)</f>
        <v>0.0121107057791162</v>
      </c>
      <c r="K25" s="13" t="n">
        <f aca="false">IF(OR($F25="",$D25="",$G25=""),"",$F25*($D25-1)-$G25)</f>
        <v>-0.0227718283605918</v>
      </c>
      <c r="L25" s="13" t="n">
        <f aca="false">IF(OR($G25="",$E25="",$F25=""),"",$G25*($E25-1)-$F25)</f>
        <v>-0.069034724436816</v>
      </c>
      <c r="M25" s="0" t="str">
        <f aca="false">IF(OR($K25="",$L25=""),"",IF(MAX($K25,$L25)&gt;=Parametros!$B$10,IF($K25&gt;=$L25,"Over","Under"),"Sin ventaja suficiente"))</f>
        <v>Sin ventaja suficiente</v>
      </c>
    </row>
    <row r="26" customFormat="false" ht="15" hidden="false" customHeight="false" outlineLevel="0" collapsed="false">
      <c r="A26" s="0" t="s">
        <v>19</v>
      </c>
      <c r="B26" s="6" t="n">
        <f aca="false">D15</f>
        <v>51.4</v>
      </c>
      <c r="C26" s="0" t="str">
        <f aca="false">IF(E15="","",E15)</f>
        <v/>
      </c>
      <c r="D26" s="12"/>
      <c r="E26" s="12"/>
      <c r="F26" s="13" t="str">
        <f aca="false">IF(OR($C26="",$B26=""),"",1-NORMDIST(INT($C26)+0.5,$B26,Parametros!$B$9*$B26,TRUE()))</f>
        <v/>
      </c>
      <c r="G26" s="13" t="str">
        <f aca="false">IF(OR($C26="",$B26=""),"",NORMDIST(-INT(-$C26)-0.5,$B26,Parametros!$B$9*$B26,TRUE()))</f>
        <v/>
      </c>
      <c r="H26" s="13" t="str">
        <f aca="false">IF($D26="","",1/$D26)</f>
        <v/>
      </c>
      <c r="I26" s="13" t="str">
        <f aca="false">IF(OR($D26="",$E26=""),"",(1/$D26)/((1/$D26)+(1/$E26)))</f>
        <v/>
      </c>
      <c r="J26" s="13" t="str">
        <f aca="false">IF(OR($F26="",$I26=""),"",$F26-$I26)</f>
        <v/>
      </c>
      <c r="K26" s="13" t="str">
        <f aca="false">IF(OR($F26="",$D26="",$G26=""),"",$F26*($D26-1)-$G26)</f>
        <v/>
      </c>
      <c r="L26" s="13" t="str">
        <f aca="false">IF(OR($G26="",$E26="",$F26=""),"",$G26*($E26-1)-$F26)</f>
        <v/>
      </c>
      <c r="M26" s="0" t="str">
        <f aca="false">IF(OR($K26="",$L26=""),"",IF(MAX($K26,$L26)&gt;=Parametros!$B$10,IF($K26&gt;=$L26,"Over","Under"),"Sin ventaja suficiente"))</f>
        <v/>
      </c>
    </row>
    <row r="28" customFormat="false" ht="15" hidden="false" customHeight="false" outlineLevel="0" collapsed="false">
      <c r="A28" s="14" t="s">
        <v>35</v>
      </c>
    </row>
    <row r="29" customFormat="false" ht="15" hidden="false" customHeight="false" outlineLevel="0" collapsed="false">
      <c r="A29" s="0" t="s">
        <v>36</v>
      </c>
    </row>
    <row r="30" customFormat="false" ht="15" hidden="false" customHeight="false" outlineLevel="0" collapsed="false">
      <c r="A30" s="0" t="s">
        <v>37</v>
      </c>
    </row>
    <row r="31" customFormat="false" ht="15" hidden="false" customHeight="false" outlineLevel="0" collapsed="false">
      <c r="A31" s="0" t="s">
        <v>38</v>
      </c>
    </row>
    <row r="32" customFormat="false" ht="15" hidden="false" customHeight="false" outlineLevel="0" collapsed="false">
      <c r="A32" s="0" t="s">
        <v>39</v>
      </c>
    </row>
    <row r="33" customFormat="false" ht="15" hidden="false" customHeight="false" outlineLevel="0" collapsed="false">
      <c r="A33" s="0" t="s">
        <v>40</v>
      </c>
    </row>
    <row r="35" customFormat="false" ht="15" hidden="false" customHeight="false" outlineLevel="0" collapsed="false">
      <c r="A35" s="14" t="s">
        <v>41</v>
      </c>
    </row>
    <row r="36" customFormat="false" ht="15" hidden="false" customHeight="false" outlineLevel="0" collapsed="false">
      <c r="A36" s="0" t="s">
        <v>42</v>
      </c>
      <c r="B36" s="3" t="n">
        <v>-115</v>
      </c>
    </row>
    <row r="37" customFormat="false" ht="15" hidden="false" customHeight="false" outlineLevel="0" collapsed="false">
      <c r="A37" s="0" t="s">
        <v>43</v>
      </c>
      <c r="B37" s="7" t="n">
        <f aca="false">IF(B36="","",IF(B36&gt;0,1+B36/100,1+100/ABS(B36)))</f>
        <v>1.8695652173913</v>
      </c>
    </row>
  </sheetData>
  <dataValidations count="3">
    <dataValidation allowBlank="false" errorStyle="stop" operator="between" showDropDown="false" showErrorMessage="false" showInputMessage="false" sqref="B3" type="list">
      <formula1>Jugadores!$A$2:$A$583</formula1>
      <formula2>0</formula2>
    </dataValidation>
    <dataValidation allowBlank="false" errorStyle="stop" operator="between" showDropDown="false" showErrorMessage="false" showInputMessage="false" sqref="B4" type="list">
      <formula1>Equipos!$A$2:$A$31</formula1>
      <formula2>0</formula2>
    </dataValidation>
    <dataValidation allowBlank="true" errorStyle="stop" operator="between" showDropDown="false" showErrorMessage="false" showInputMessage="false" sqref="B5" type="list">
      <formula1>"PG,SG,SF,PF,C"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0"/>
  </cols>
  <sheetData>
    <row r="1" customFormat="false" ht="15" hidden="false" customHeight="false" outlineLevel="0" collapsed="false">
      <c r="A1" s="5" t="s">
        <v>44</v>
      </c>
      <c r="B1" s="5" t="s">
        <v>45</v>
      </c>
      <c r="C1" s="5" t="s">
        <v>46</v>
      </c>
    </row>
    <row r="2" customFormat="false" ht="15" hidden="false" customHeight="false" outlineLevel="0" collapsed="false">
      <c r="A2" s="0" t="s">
        <v>47</v>
      </c>
      <c r="B2" s="3" t="n">
        <v>0.7</v>
      </c>
      <c r="C2" s="8" t="s">
        <v>48</v>
      </c>
    </row>
    <row r="3" customFormat="false" ht="15" hidden="false" customHeight="false" outlineLevel="0" collapsed="false">
      <c r="A3" s="0" t="s">
        <v>49</v>
      </c>
      <c r="B3" s="3" t="n">
        <v>0.6</v>
      </c>
      <c r="C3" s="8" t="s">
        <v>50</v>
      </c>
    </row>
    <row r="4" customFormat="false" ht="15" hidden="false" customHeight="false" outlineLevel="0" collapsed="false">
      <c r="A4" s="0" t="s">
        <v>51</v>
      </c>
      <c r="B4" s="3" t="n">
        <v>0.5</v>
      </c>
      <c r="C4" s="8" t="s">
        <v>52</v>
      </c>
    </row>
    <row r="5" customFormat="false" ht="15" hidden="false" customHeight="false" outlineLevel="0" collapsed="false">
      <c r="A5" s="0" t="s">
        <v>53</v>
      </c>
      <c r="B5" s="3" t="n">
        <v>0.12</v>
      </c>
      <c r="C5" s="8" t="s">
        <v>54</v>
      </c>
    </row>
    <row r="6" customFormat="false" ht="15" hidden="false" customHeight="false" outlineLevel="0" collapsed="false">
      <c r="A6" s="0" t="s">
        <v>55</v>
      </c>
      <c r="B6" s="3" t="n">
        <v>0.3</v>
      </c>
      <c r="C6" s="8" t="s">
        <v>56</v>
      </c>
    </row>
    <row r="7" customFormat="false" ht="15" hidden="false" customHeight="false" outlineLevel="0" collapsed="false">
      <c r="A7" s="0" t="s">
        <v>57</v>
      </c>
      <c r="B7" s="3" t="n">
        <v>1.3</v>
      </c>
      <c r="C7" s="8" t="s">
        <v>58</v>
      </c>
    </row>
    <row r="8" customFormat="false" ht="15" hidden="false" customHeight="false" outlineLevel="0" collapsed="false">
      <c r="A8" s="0" t="s">
        <v>59</v>
      </c>
      <c r="B8" s="3" t="n">
        <v>1.4</v>
      </c>
      <c r="C8" s="8" t="s">
        <v>60</v>
      </c>
    </row>
    <row r="9" customFormat="false" ht="15" hidden="false" customHeight="false" outlineLevel="0" collapsed="false">
      <c r="A9" s="0" t="s">
        <v>61</v>
      </c>
      <c r="B9" s="3" t="n">
        <v>0.25</v>
      </c>
      <c r="C9" s="8" t="s">
        <v>62</v>
      </c>
    </row>
    <row r="10" customFormat="false" ht="15" hidden="false" customHeight="false" outlineLevel="0" collapsed="false">
      <c r="A10" s="0" t="s">
        <v>63</v>
      </c>
      <c r="B10" s="3" t="n">
        <v>0.05</v>
      </c>
      <c r="C10" s="8" t="s">
        <v>64</v>
      </c>
    </row>
    <row r="12" customFormat="false" ht="15" hidden="false" customHeight="false" outlineLevel="0" collapsed="false">
      <c r="A12" s="0" t="s">
        <v>65</v>
      </c>
      <c r="C12" s="0" t="s">
        <v>66</v>
      </c>
    </row>
    <row r="13" customFormat="false" ht="15" hidden="false" customHeight="false" outlineLevel="0" collapsed="false">
      <c r="A13" s="0" t="s">
        <v>67</v>
      </c>
      <c r="C13" s="0" t="s">
        <v>68</v>
      </c>
    </row>
    <row r="14" customFormat="false" ht="15" hidden="false" customHeight="false" outlineLevel="0" collapsed="false">
      <c r="A14" s="0" t="s">
        <v>69</v>
      </c>
      <c r="C14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7" min="6" style="0" width="55"/>
  </cols>
  <sheetData>
    <row r="1" customFormat="false" ht="28.35" hidden="false" customHeight="false" outlineLevel="0" collapsed="false">
      <c r="A1" s="5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</row>
    <row r="2" customFormat="false" ht="15" hidden="false" customHeight="false" outlineLevel="0" collapsed="false">
      <c r="A2" s="0" t="s">
        <v>78</v>
      </c>
      <c r="B2" s="0" t="s">
        <v>79</v>
      </c>
      <c r="C2" s="0" t="n">
        <v>0.738</v>
      </c>
      <c r="D2" s="0" t="n">
        <v>0.689</v>
      </c>
      <c r="E2" s="0" t="n">
        <v>0.788</v>
      </c>
      <c r="F2" s="0" t="s">
        <v>80</v>
      </c>
      <c r="G2" s="0" t="s">
        <v>81</v>
      </c>
    </row>
    <row r="3" customFormat="false" ht="15" hidden="false" customHeight="false" outlineLevel="0" collapsed="false">
      <c r="A3" s="0" t="s">
        <v>82</v>
      </c>
      <c r="B3" s="0" t="s">
        <v>83</v>
      </c>
      <c r="C3" s="0" t="n">
        <v>0.753</v>
      </c>
      <c r="D3" s="0" t="n">
        <v>0.723</v>
      </c>
      <c r="E3" s="0" t="n">
        <v>0.783</v>
      </c>
      <c r="F3" s="0" t="s">
        <v>84</v>
      </c>
      <c r="G3" s="0" t="s">
        <v>85</v>
      </c>
    </row>
    <row r="4" customFormat="false" ht="15" hidden="false" customHeight="false" outlineLevel="0" collapsed="false">
      <c r="A4" s="0" t="s">
        <v>86</v>
      </c>
      <c r="B4" s="0" t="s">
        <v>87</v>
      </c>
      <c r="C4" s="0" t="n">
        <v>0.822</v>
      </c>
      <c r="D4" s="0" t="n">
        <v>0.797</v>
      </c>
      <c r="E4" s="0" t="n">
        <v>0.848</v>
      </c>
      <c r="F4" s="0" t="s">
        <v>88</v>
      </c>
      <c r="G4" s="0" t="s">
        <v>89</v>
      </c>
    </row>
    <row r="5" customFormat="false" ht="15" hidden="false" customHeight="false" outlineLevel="0" collapsed="false">
      <c r="A5" s="0" t="s">
        <v>90</v>
      </c>
      <c r="B5" s="0" t="s">
        <v>91</v>
      </c>
      <c r="C5" s="0" t="n">
        <v>0.628</v>
      </c>
      <c r="D5" s="0" t="n">
        <v>0.641</v>
      </c>
      <c r="E5" s="0" t="n">
        <v>0.614</v>
      </c>
      <c r="F5" s="0" t="s">
        <v>92</v>
      </c>
      <c r="G5" s="0" t="s">
        <v>93</v>
      </c>
    </row>
    <row r="6" customFormat="false" ht="15" hidden="false" customHeight="false" outlineLevel="0" collapsed="false">
      <c r="A6" s="0" t="s">
        <v>4</v>
      </c>
      <c r="B6" s="0" t="s">
        <v>94</v>
      </c>
      <c r="C6" s="0" t="n">
        <v>0.627</v>
      </c>
      <c r="D6" s="0" t="n">
        <v>0.522</v>
      </c>
      <c r="E6" s="0" t="n">
        <v>0.733</v>
      </c>
      <c r="F6" s="0" t="s">
        <v>95</v>
      </c>
      <c r="G6" s="0" t="s">
        <v>96</v>
      </c>
    </row>
    <row r="7" customFormat="false" ht="15" hidden="false" customHeight="false" outlineLevel="0" collapsed="false">
      <c r="A7" s="0" t="s">
        <v>97</v>
      </c>
      <c r="B7" s="0" t="s">
        <v>98</v>
      </c>
      <c r="C7" s="0" t="n">
        <v>0.73</v>
      </c>
      <c r="D7" s="0" t="n">
        <v>0.614</v>
      </c>
      <c r="E7" s="0" t="n">
        <v>0.847</v>
      </c>
      <c r="F7" s="0" t="s">
        <v>99</v>
      </c>
      <c r="G7" s="0" t="s">
        <v>100</v>
      </c>
    </row>
    <row r="8" customFormat="false" ht="15" hidden="false" customHeight="false" outlineLevel="0" collapsed="false">
      <c r="A8" s="0" t="s">
        <v>101</v>
      </c>
      <c r="B8" s="0" t="s">
        <v>102</v>
      </c>
      <c r="C8" s="0" t="n">
        <v>0.726</v>
      </c>
      <c r="D8" s="0" t="n">
        <v>0.631</v>
      </c>
      <c r="E8" s="0" t="n">
        <v>0.821</v>
      </c>
      <c r="F8" s="0" t="s">
        <v>103</v>
      </c>
      <c r="G8" s="0" t="s">
        <v>104</v>
      </c>
    </row>
    <row r="9" customFormat="false" ht="15" hidden="false" customHeight="false" outlineLevel="0" collapsed="false">
      <c r="A9" s="0" t="s">
        <v>105</v>
      </c>
      <c r="B9" s="0" t="s">
        <v>106</v>
      </c>
      <c r="C9" s="0" t="n">
        <v>0.806</v>
      </c>
      <c r="D9" s="0" t="n">
        <v>0.832</v>
      </c>
      <c r="E9" s="0" t="n">
        <v>0.779</v>
      </c>
      <c r="F9" s="0" t="s">
        <v>107</v>
      </c>
      <c r="G9" s="0" t="s">
        <v>108</v>
      </c>
    </row>
    <row r="10" customFormat="false" ht="15" hidden="false" customHeight="false" outlineLevel="0" collapsed="false">
      <c r="A10" s="0" t="s">
        <v>109</v>
      </c>
      <c r="B10" s="0" t="s">
        <v>110</v>
      </c>
      <c r="C10" s="0" t="n">
        <v>0.704</v>
      </c>
      <c r="D10" s="0" t="n">
        <v>0.689</v>
      </c>
      <c r="E10" s="0" t="n">
        <v>0.719</v>
      </c>
      <c r="F10" s="0" t="s">
        <v>111</v>
      </c>
      <c r="G10" s="0" t="s">
        <v>112</v>
      </c>
    </row>
    <row r="11" customFormat="false" ht="15" hidden="false" customHeight="false" outlineLevel="0" collapsed="false">
      <c r="A11" s="0" t="s">
        <v>113</v>
      </c>
      <c r="B11" s="0" t="s">
        <v>114</v>
      </c>
      <c r="C11" s="0" t="n">
        <v>0.893</v>
      </c>
      <c r="D11" s="0" t="n">
        <v>0.843</v>
      </c>
      <c r="E11" s="0" t="n">
        <v>0.943</v>
      </c>
      <c r="F11" s="0" t="s">
        <v>115</v>
      </c>
      <c r="G11" s="0" t="s">
        <v>116</v>
      </c>
    </row>
    <row r="12" customFormat="false" ht="15" hidden="false" customHeight="false" outlineLevel="0" collapsed="false">
      <c r="A12" s="0" t="s">
        <v>117</v>
      </c>
      <c r="B12" s="0" t="s">
        <v>118</v>
      </c>
      <c r="C12" s="0" t="n">
        <v>0.861</v>
      </c>
      <c r="D12" s="0" t="n">
        <v>0.882</v>
      </c>
      <c r="E12" s="0" t="n">
        <v>0.841</v>
      </c>
      <c r="F12" s="0" t="s">
        <v>119</v>
      </c>
      <c r="G12" s="0" t="s">
        <v>120</v>
      </c>
    </row>
    <row r="13" customFormat="false" ht="15" hidden="false" customHeight="false" outlineLevel="0" collapsed="false">
      <c r="A13" s="0" t="s">
        <v>121</v>
      </c>
      <c r="B13" s="0" t="s">
        <v>122</v>
      </c>
      <c r="C13" s="0" t="n">
        <v>0.819</v>
      </c>
      <c r="D13" s="0" t="n">
        <v>0.741</v>
      </c>
      <c r="E13" s="0" t="n">
        <v>0.898</v>
      </c>
      <c r="F13" s="0" t="s">
        <v>123</v>
      </c>
      <c r="G13" s="0" t="s">
        <v>124</v>
      </c>
    </row>
    <row r="14" customFormat="false" ht="15" hidden="false" customHeight="false" outlineLevel="0" collapsed="false">
      <c r="A14" s="0" t="s">
        <v>125</v>
      </c>
      <c r="B14" s="0" t="s">
        <v>126</v>
      </c>
      <c r="C14" s="0" t="n">
        <v>0.63</v>
      </c>
      <c r="D14" s="0" t="n">
        <v>0.565</v>
      </c>
      <c r="E14" s="0" t="n">
        <v>0.694</v>
      </c>
      <c r="F14" s="0" t="s">
        <v>127</v>
      </c>
      <c r="G14" s="0" t="s">
        <v>128</v>
      </c>
    </row>
    <row r="15" customFormat="false" ht="15" hidden="false" customHeight="false" outlineLevel="0" collapsed="false">
      <c r="A15" s="0" t="s">
        <v>129</v>
      </c>
      <c r="B15" s="0" t="s">
        <v>130</v>
      </c>
      <c r="C15" s="0" t="n">
        <v>0.453</v>
      </c>
      <c r="D15" s="0" t="n">
        <v>0.451</v>
      </c>
      <c r="E15" s="0" t="n">
        <v>0.455</v>
      </c>
      <c r="F15" s="0" t="s">
        <v>131</v>
      </c>
      <c r="G15" s="0" t="s">
        <v>132</v>
      </c>
    </row>
    <row r="16" customFormat="false" ht="15" hidden="false" customHeight="false" outlineLevel="0" collapsed="false">
      <c r="A16" s="0" t="s">
        <v>133</v>
      </c>
      <c r="B16" s="0" t="s">
        <v>134</v>
      </c>
      <c r="C16" s="0" t="n">
        <v>0.738</v>
      </c>
      <c r="D16" s="0" t="n">
        <v>0.698</v>
      </c>
      <c r="E16" s="0" t="n">
        <v>0.778</v>
      </c>
      <c r="F16" s="0" t="s">
        <v>135</v>
      </c>
      <c r="G16" s="0" t="s">
        <v>136</v>
      </c>
    </row>
    <row r="17" customFormat="false" ht="15" hidden="false" customHeight="false" outlineLevel="0" collapsed="false">
      <c r="A17" s="0" t="s">
        <v>137</v>
      </c>
      <c r="B17" s="0" t="s">
        <v>138</v>
      </c>
      <c r="C17" s="0" t="n">
        <v>0.579</v>
      </c>
      <c r="D17" s="0" t="n">
        <v>0.565</v>
      </c>
      <c r="E17" s="0" t="n">
        <v>0.592</v>
      </c>
      <c r="F17" s="0" t="s">
        <v>139</v>
      </c>
      <c r="G17" s="0" t="s">
        <v>140</v>
      </c>
    </row>
    <row r="18" customFormat="false" ht="15" hidden="false" customHeight="false" outlineLevel="0" collapsed="false">
      <c r="A18" s="0" t="s">
        <v>141</v>
      </c>
      <c r="B18" s="0" t="s">
        <v>142</v>
      </c>
      <c r="C18" s="0" t="n">
        <v>0.733</v>
      </c>
      <c r="D18" s="0" t="n">
        <v>0.761</v>
      </c>
      <c r="E18" s="0" t="n">
        <v>0.705</v>
      </c>
      <c r="F18" s="0" t="s">
        <v>143</v>
      </c>
      <c r="G18" s="0" t="s">
        <v>144</v>
      </c>
    </row>
    <row r="19" customFormat="false" ht="15" hidden="false" customHeight="false" outlineLevel="0" collapsed="false">
      <c r="A19" s="0" t="s">
        <v>145</v>
      </c>
      <c r="B19" s="0" t="s">
        <v>146</v>
      </c>
      <c r="C19" s="0" t="n">
        <v>0.671</v>
      </c>
      <c r="D19" s="0" t="n">
        <v>0.674</v>
      </c>
      <c r="E19" s="0" t="n">
        <v>0.669</v>
      </c>
      <c r="F19" s="0" t="s">
        <v>147</v>
      </c>
      <c r="G19" s="0" t="s">
        <v>148</v>
      </c>
    </row>
    <row r="20" customFormat="false" ht="15" hidden="false" customHeight="false" outlineLevel="0" collapsed="false">
      <c r="A20" s="0" t="s">
        <v>149</v>
      </c>
      <c r="B20" s="0" t="s">
        <v>150</v>
      </c>
      <c r="C20" s="0" t="n">
        <v>0.859</v>
      </c>
      <c r="D20" s="0" t="n">
        <v>0.839</v>
      </c>
      <c r="E20" s="0" t="n">
        <v>0.88</v>
      </c>
      <c r="F20" s="0" t="s">
        <v>151</v>
      </c>
      <c r="G20" s="0" t="s">
        <v>152</v>
      </c>
    </row>
    <row r="21" customFormat="false" ht="15" hidden="false" customHeight="false" outlineLevel="0" collapsed="false">
      <c r="A21" s="0" t="s">
        <v>153</v>
      </c>
      <c r="B21" s="0" t="s">
        <v>154</v>
      </c>
      <c r="C21" s="0" t="n">
        <v>0.93</v>
      </c>
      <c r="D21" s="0" t="n">
        <v>0.929</v>
      </c>
      <c r="E21" s="0" t="n">
        <v>0.93</v>
      </c>
      <c r="F21" s="0" t="s">
        <v>155</v>
      </c>
      <c r="G21" s="0" t="s">
        <v>156</v>
      </c>
    </row>
    <row r="22" customFormat="false" ht="15" hidden="false" customHeight="false" outlineLevel="0" collapsed="false">
      <c r="A22" s="0" t="s">
        <v>157</v>
      </c>
      <c r="B22" s="0" t="s">
        <v>158</v>
      </c>
      <c r="C22" s="0" t="n">
        <v>0.873</v>
      </c>
      <c r="D22" s="0" t="n">
        <v>0.745</v>
      </c>
      <c r="E22" s="0" t="n">
        <v>1</v>
      </c>
      <c r="F22" s="0" t="s">
        <v>159</v>
      </c>
    </row>
    <row r="23" customFormat="false" ht="15" hidden="false" customHeight="false" outlineLevel="0" collapsed="false">
      <c r="A23" s="0" t="s">
        <v>160</v>
      </c>
      <c r="B23" s="0" t="s">
        <v>161</v>
      </c>
      <c r="C23" s="0" t="n">
        <v>0.915</v>
      </c>
      <c r="D23" s="0" t="n">
        <v>0.917</v>
      </c>
      <c r="E23" s="0" t="n">
        <v>0.913</v>
      </c>
      <c r="F23" s="0" t="s">
        <v>162</v>
      </c>
      <c r="G23" s="0" t="s">
        <v>163</v>
      </c>
    </row>
    <row r="24" customFormat="false" ht="15" hidden="false" customHeight="false" outlineLevel="0" collapsed="false">
      <c r="A24" s="0" t="s">
        <v>164</v>
      </c>
      <c r="B24" s="0" t="s">
        <v>165</v>
      </c>
      <c r="C24" s="0" t="n">
        <v>0.583</v>
      </c>
      <c r="D24" s="0" t="n">
        <v>0.58</v>
      </c>
      <c r="E24" s="0" t="n">
        <v>0.586</v>
      </c>
      <c r="F24" s="0" t="s">
        <v>166</v>
      </c>
      <c r="G24" s="0" t="s">
        <v>167</v>
      </c>
    </row>
    <row r="25" customFormat="false" ht="15" hidden="false" customHeight="false" outlineLevel="0" collapsed="false">
      <c r="A25" s="0" t="s">
        <v>168</v>
      </c>
      <c r="B25" s="0" t="s">
        <v>169</v>
      </c>
      <c r="C25" s="0" t="n">
        <v>0.83</v>
      </c>
      <c r="D25" s="0" t="n">
        <v>0.825</v>
      </c>
      <c r="E25" s="0" t="n">
        <v>0.835</v>
      </c>
      <c r="F25" s="0" t="s">
        <v>170</v>
      </c>
      <c r="G25" s="0" t="s">
        <v>171</v>
      </c>
    </row>
    <row r="26" customFormat="false" ht="15" hidden="false" customHeight="false" outlineLevel="0" collapsed="false">
      <c r="A26" s="0" t="s">
        <v>172</v>
      </c>
      <c r="B26" s="0" t="s">
        <v>173</v>
      </c>
      <c r="C26" s="0" t="n">
        <v>0.779</v>
      </c>
      <c r="D26" s="0" t="n">
        <v>0.766</v>
      </c>
      <c r="E26" s="0" t="n">
        <v>0.792</v>
      </c>
      <c r="F26" s="0" t="s">
        <v>174</v>
      </c>
      <c r="G26" s="0" t="s">
        <v>175</v>
      </c>
    </row>
    <row r="27" customFormat="false" ht="15" hidden="false" customHeight="false" outlineLevel="0" collapsed="false">
      <c r="A27" s="0" t="s">
        <v>176</v>
      </c>
      <c r="B27" s="0" t="s">
        <v>177</v>
      </c>
      <c r="C27" s="0" t="n">
        <v>0.903</v>
      </c>
      <c r="D27" s="0" t="n">
        <v>0.806</v>
      </c>
      <c r="E27" s="0" t="n">
        <v>1</v>
      </c>
      <c r="F27" s="0" t="s">
        <v>178</v>
      </c>
    </row>
    <row r="28" customFormat="false" ht="15" hidden="false" customHeight="false" outlineLevel="0" collapsed="false">
      <c r="A28" s="0" t="s">
        <v>179</v>
      </c>
      <c r="B28" s="0" t="s">
        <v>180</v>
      </c>
      <c r="C28" s="0" t="n">
        <v>0.926</v>
      </c>
      <c r="D28" s="0" t="n">
        <v>0.952</v>
      </c>
      <c r="E28" s="0" t="n">
        <v>0.901</v>
      </c>
      <c r="F28" s="0" t="s">
        <v>181</v>
      </c>
      <c r="G28" s="0" t="s">
        <v>182</v>
      </c>
    </row>
    <row r="29" customFormat="false" ht="15" hidden="false" customHeight="false" outlineLevel="0" collapsed="false">
      <c r="A29" s="0" t="s">
        <v>183</v>
      </c>
      <c r="B29" s="0" t="s">
        <v>184</v>
      </c>
      <c r="C29" s="0" t="n">
        <v>0.734</v>
      </c>
      <c r="D29" s="0" t="n">
        <v>0.685</v>
      </c>
      <c r="E29" s="0" t="n">
        <v>0.782</v>
      </c>
      <c r="F29" s="0" t="s">
        <v>185</v>
      </c>
      <c r="G29" s="0" t="s">
        <v>186</v>
      </c>
    </row>
    <row r="30" customFormat="false" ht="15" hidden="false" customHeight="false" outlineLevel="0" collapsed="false">
      <c r="A30" s="0" t="s">
        <v>187</v>
      </c>
      <c r="B30" s="0" t="s">
        <v>188</v>
      </c>
      <c r="C30" s="0" t="n">
        <v>0.841</v>
      </c>
      <c r="D30" s="0" t="n">
        <v>0.779</v>
      </c>
      <c r="E30" s="0" t="n">
        <v>0.903</v>
      </c>
      <c r="F30" s="0" t="s">
        <v>189</v>
      </c>
      <c r="G30" s="0" t="s">
        <v>190</v>
      </c>
    </row>
    <row r="31" customFormat="false" ht="15" hidden="false" customHeight="false" outlineLevel="0" collapsed="false">
      <c r="A31" s="0" t="s">
        <v>191</v>
      </c>
      <c r="B31" s="0" t="s">
        <v>192</v>
      </c>
      <c r="C31" s="0" t="n">
        <v>0.841</v>
      </c>
      <c r="D31" s="0" t="n">
        <v>0.769</v>
      </c>
      <c r="E31" s="0" t="n">
        <v>0.912</v>
      </c>
      <c r="F31" s="0" t="s">
        <v>193</v>
      </c>
      <c r="G31" s="0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14" min="3" style="0" width="11"/>
  </cols>
  <sheetData>
    <row r="1" customFormat="false" ht="28.35" hidden="false" customHeight="false" outlineLevel="0" collapsed="false">
      <c r="A1" s="5" t="s">
        <v>71</v>
      </c>
      <c r="B1" s="5" t="s">
        <v>195</v>
      </c>
      <c r="C1" s="5" t="s">
        <v>196</v>
      </c>
      <c r="D1" s="5" t="s">
        <v>197</v>
      </c>
      <c r="E1" s="5" t="s">
        <v>198</v>
      </c>
      <c r="F1" s="5" t="s">
        <v>199</v>
      </c>
      <c r="G1" s="5" t="s">
        <v>200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206</v>
      </c>
      <c r="N1" s="5" t="s">
        <v>207</v>
      </c>
    </row>
    <row r="2" customFormat="false" ht="15" hidden="false" customHeight="false" outlineLevel="0" collapsed="false">
      <c r="A2" s="0" t="s">
        <v>78</v>
      </c>
      <c r="B2" s="0" t="s">
        <v>208</v>
      </c>
      <c r="C2" s="0" t="n">
        <v>25.14</v>
      </c>
      <c r="D2" s="0" t="n">
        <v>8.9</v>
      </c>
      <c r="E2" s="0" t="n">
        <v>5.97</v>
      </c>
      <c r="F2" s="0" t="n">
        <v>3.26</v>
      </c>
      <c r="G2" s="0" t="n">
        <v>1.88</v>
      </c>
      <c r="H2" s="0" t="n">
        <v>14</v>
      </c>
      <c r="I2" s="0" t="n">
        <v>11</v>
      </c>
      <c r="J2" s="0" t="n">
        <v>22</v>
      </c>
      <c r="K2" s="0" t="n">
        <v>11</v>
      </c>
      <c r="L2" s="0" t="n">
        <v>16</v>
      </c>
      <c r="M2" s="0" t="n">
        <v>0.61</v>
      </c>
      <c r="N2" s="0" t="n">
        <v>10</v>
      </c>
    </row>
    <row r="3" customFormat="false" ht="15" hidden="false" customHeight="false" outlineLevel="0" collapsed="false">
      <c r="A3" s="0" t="s">
        <v>86</v>
      </c>
      <c r="B3" s="0" t="s">
        <v>208</v>
      </c>
      <c r="C3" s="0" t="n">
        <v>23.93</v>
      </c>
      <c r="D3" s="0" t="n">
        <v>9.01</v>
      </c>
      <c r="E3" s="0" t="n">
        <v>6.49</v>
      </c>
      <c r="F3" s="0" t="n">
        <v>2.9</v>
      </c>
      <c r="G3" s="0" t="n">
        <v>2.02</v>
      </c>
      <c r="H3" s="0" t="n">
        <v>23</v>
      </c>
      <c r="I3" s="0" t="n">
        <v>10</v>
      </c>
      <c r="J3" s="0" t="n">
        <v>11</v>
      </c>
      <c r="K3" s="0" t="n">
        <v>25</v>
      </c>
      <c r="L3" s="0" t="n">
        <v>6</v>
      </c>
      <c r="M3" s="0" t="n">
        <v>0.5</v>
      </c>
      <c r="N3" s="0" t="n">
        <v>24</v>
      </c>
    </row>
    <row r="4" customFormat="false" ht="15" hidden="false" customHeight="false" outlineLevel="0" collapsed="false">
      <c r="A4" s="0" t="s">
        <v>82</v>
      </c>
      <c r="B4" s="0" t="s">
        <v>208</v>
      </c>
      <c r="C4" s="0" t="n">
        <v>24.24</v>
      </c>
      <c r="D4" s="0" t="n">
        <v>8.51</v>
      </c>
      <c r="E4" s="0" t="n">
        <v>5.74</v>
      </c>
      <c r="F4" s="0" t="n">
        <v>3.58</v>
      </c>
      <c r="G4" s="0" t="n">
        <v>1.53</v>
      </c>
      <c r="H4" s="0" t="n">
        <v>21</v>
      </c>
      <c r="I4" s="0" t="n">
        <v>17</v>
      </c>
      <c r="J4" s="0" t="n">
        <v>25</v>
      </c>
      <c r="K4" s="0" t="n">
        <v>5</v>
      </c>
      <c r="L4" s="0" t="n">
        <v>30</v>
      </c>
      <c r="M4" s="0" t="n">
        <v>0.5</v>
      </c>
      <c r="N4" s="0" t="n">
        <v>24</v>
      </c>
    </row>
    <row r="5" customFormat="false" ht="15" hidden="false" customHeight="false" outlineLevel="0" collapsed="false">
      <c r="A5" s="0" t="s">
        <v>90</v>
      </c>
      <c r="B5" s="0" t="s">
        <v>208</v>
      </c>
      <c r="C5" s="0" t="n">
        <v>24.2</v>
      </c>
      <c r="D5" s="0" t="n">
        <v>8.03</v>
      </c>
      <c r="E5" s="0" t="n">
        <v>5.7</v>
      </c>
      <c r="F5" s="0" t="n">
        <v>2.99</v>
      </c>
      <c r="G5" s="0" t="n">
        <v>1.77</v>
      </c>
      <c r="H5" s="0" t="n">
        <v>22</v>
      </c>
      <c r="I5" s="0" t="n">
        <v>21</v>
      </c>
      <c r="J5" s="0" t="n">
        <v>28</v>
      </c>
      <c r="K5" s="0" t="n">
        <v>20</v>
      </c>
      <c r="L5" s="0" t="n">
        <v>20</v>
      </c>
      <c r="M5" s="0" t="n">
        <v>0.56</v>
      </c>
      <c r="N5" s="0" t="n">
        <v>19</v>
      </c>
    </row>
    <row r="6" customFormat="false" ht="15" hidden="false" customHeight="false" outlineLevel="0" collapsed="false">
      <c r="A6" s="0" t="s">
        <v>4</v>
      </c>
      <c r="B6" s="0" t="s">
        <v>208</v>
      </c>
      <c r="C6" s="0" t="n">
        <v>24.33</v>
      </c>
      <c r="D6" s="0" t="n">
        <v>9.59</v>
      </c>
      <c r="E6" s="0" t="n">
        <v>6.15</v>
      </c>
      <c r="F6" s="0" t="n">
        <v>3.49</v>
      </c>
      <c r="G6" s="0" t="n">
        <v>1.98</v>
      </c>
      <c r="H6" s="0" t="n">
        <v>18</v>
      </c>
      <c r="I6" s="0" t="n">
        <v>1</v>
      </c>
      <c r="J6" s="0" t="n">
        <v>15</v>
      </c>
      <c r="K6" s="0" t="n">
        <v>7</v>
      </c>
      <c r="L6" s="0" t="n">
        <v>10</v>
      </c>
      <c r="M6" s="0" t="n">
        <v>0.57</v>
      </c>
      <c r="N6" s="0" t="n">
        <v>18</v>
      </c>
    </row>
    <row r="7" customFormat="false" ht="15" hidden="false" customHeight="false" outlineLevel="0" collapsed="false">
      <c r="A7" s="0" t="s">
        <v>97</v>
      </c>
      <c r="B7" s="0" t="s">
        <v>208</v>
      </c>
      <c r="C7" s="0" t="n">
        <v>23.89</v>
      </c>
      <c r="D7" s="0" t="n">
        <v>8.72</v>
      </c>
      <c r="E7" s="0" t="n">
        <v>5.73</v>
      </c>
      <c r="F7" s="0" t="n">
        <v>3.27</v>
      </c>
      <c r="G7" s="0" t="n">
        <v>1.74</v>
      </c>
      <c r="H7" s="0" t="n">
        <v>24</v>
      </c>
      <c r="I7" s="0" t="n">
        <v>14</v>
      </c>
      <c r="J7" s="0" t="n">
        <v>26</v>
      </c>
      <c r="K7" s="0" t="n">
        <v>10</v>
      </c>
      <c r="L7" s="0" t="n">
        <v>22</v>
      </c>
      <c r="M7" s="0" t="n">
        <v>0.5</v>
      </c>
      <c r="N7" s="0" t="n">
        <v>24</v>
      </c>
    </row>
    <row r="8" customFormat="false" ht="15" hidden="false" customHeight="false" outlineLevel="0" collapsed="false">
      <c r="A8" s="0" t="s">
        <v>101</v>
      </c>
      <c r="B8" s="0" t="s">
        <v>208</v>
      </c>
      <c r="C8" s="0" t="n">
        <v>26.21</v>
      </c>
      <c r="D8" s="0" t="n">
        <v>9.18</v>
      </c>
      <c r="E8" s="0" t="n">
        <v>7.1</v>
      </c>
      <c r="F8" s="0" t="n">
        <v>2.96</v>
      </c>
      <c r="G8" s="0" t="n">
        <v>2</v>
      </c>
      <c r="H8" s="0" t="n">
        <v>7</v>
      </c>
      <c r="I8" s="0" t="n">
        <v>5</v>
      </c>
      <c r="J8" s="0" t="n">
        <v>1</v>
      </c>
      <c r="K8" s="0" t="n">
        <v>22</v>
      </c>
      <c r="L8" s="0" t="n">
        <v>8</v>
      </c>
      <c r="M8" s="0" t="n">
        <v>0.64</v>
      </c>
      <c r="N8" s="0" t="n">
        <v>5</v>
      </c>
    </row>
    <row r="9" customFormat="false" ht="15" hidden="false" customHeight="false" outlineLevel="0" collapsed="false">
      <c r="A9" s="0" t="s">
        <v>105</v>
      </c>
      <c r="B9" s="0" t="s">
        <v>208</v>
      </c>
      <c r="C9" s="0" t="n">
        <v>23.77</v>
      </c>
      <c r="D9" s="0" t="n">
        <v>8.71</v>
      </c>
      <c r="E9" s="0" t="n">
        <v>6.35</v>
      </c>
      <c r="F9" s="0" t="n">
        <v>2.98</v>
      </c>
      <c r="G9" s="0" t="n">
        <v>1.64</v>
      </c>
      <c r="H9" s="0" t="n">
        <v>25</v>
      </c>
      <c r="I9" s="0" t="n">
        <v>15</v>
      </c>
      <c r="J9" s="0" t="n">
        <v>13</v>
      </c>
      <c r="K9" s="0" t="n">
        <v>21</v>
      </c>
      <c r="L9" s="0" t="n">
        <v>28</v>
      </c>
      <c r="M9" s="0" t="n">
        <v>0.73</v>
      </c>
      <c r="N9" s="0" t="n">
        <v>2</v>
      </c>
    </row>
    <row r="10" customFormat="false" ht="15" hidden="false" customHeight="false" outlineLevel="0" collapsed="false">
      <c r="A10" s="0" t="s">
        <v>109</v>
      </c>
      <c r="B10" s="0" t="s">
        <v>208</v>
      </c>
      <c r="C10" s="0" t="n">
        <v>22.78</v>
      </c>
      <c r="D10" s="0" t="n">
        <v>7.33</v>
      </c>
      <c r="E10" s="0" t="n">
        <v>5.8</v>
      </c>
      <c r="F10" s="0" t="n">
        <v>2.74</v>
      </c>
      <c r="G10" s="0" t="n">
        <v>2.13</v>
      </c>
      <c r="H10" s="0" t="n">
        <v>29</v>
      </c>
      <c r="I10" s="0" t="n">
        <v>30</v>
      </c>
      <c r="J10" s="0" t="n">
        <v>24</v>
      </c>
      <c r="K10" s="0" t="n">
        <v>30</v>
      </c>
      <c r="L10" s="0" t="n">
        <v>3</v>
      </c>
      <c r="M10" s="0" t="n">
        <v>0.64</v>
      </c>
      <c r="N10" s="0" t="n">
        <v>5</v>
      </c>
    </row>
    <row r="11" customFormat="false" ht="15" hidden="false" customHeight="false" outlineLevel="0" collapsed="false">
      <c r="A11" s="0" t="s">
        <v>113</v>
      </c>
      <c r="B11" s="0" t="s">
        <v>208</v>
      </c>
      <c r="C11" s="0" t="n">
        <v>26.14</v>
      </c>
      <c r="D11" s="0" t="n">
        <v>7.92</v>
      </c>
      <c r="E11" s="0" t="n">
        <v>5.98</v>
      </c>
      <c r="F11" s="0" t="n">
        <v>3.22</v>
      </c>
      <c r="G11" s="0" t="n">
        <v>2.14</v>
      </c>
      <c r="H11" s="0" t="n">
        <v>8</v>
      </c>
      <c r="I11" s="0" t="n">
        <v>23</v>
      </c>
      <c r="J11" s="0" t="n">
        <v>21</v>
      </c>
      <c r="K11" s="0" t="n">
        <v>14</v>
      </c>
      <c r="L11" s="0" t="n">
        <v>2</v>
      </c>
      <c r="M11" s="0" t="n">
        <v>0.53</v>
      </c>
      <c r="N11" s="0" t="n">
        <v>22</v>
      </c>
    </row>
    <row r="12" customFormat="false" ht="15" hidden="false" customHeight="false" outlineLevel="0" collapsed="false">
      <c r="A12" s="0" t="s">
        <v>117</v>
      </c>
      <c r="B12" s="0" t="s">
        <v>208</v>
      </c>
      <c r="C12" s="0" t="n">
        <v>23.76</v>
      </c>
      <c r="D12" s="0" t="n">
        <v>7.57</v>
      </c>
      <c r="E12" s="0" t="n">
        <v>5.72</v>
      </c>
      <c r="F12" s="0" t="n">
        <v>3.15</v>
      </c>
      <c r="G12" s="0" t="n">
        <v>1.74</v>
      </c>
      <c r="H12" s="0" t="n">
        <v>26</v>
      </c>
      <c r="I12" s="0" t="n">
        <v>27</v>
      </c>
      <c r="J12" s="0" t="n">
        <v>27</v>
      </c>
      <c r="K12" s="0" t="n">
        <v>17</v>
      </c>
      <c r="L12" s="0" t="n">
        <v>22</v>
      </c>
      <c r="M12" s="0" t="n">
        <v>0.59</v>
      </c>
      <c r="N12" s="0" t="n">
        <v>15</v>
      </c>
    </row>
    <row r="13" customFormat="false" ht="15" hidden="false" customHeight="false" outlineLevel="0" collapsed="false">
      <c r="A13" s="0" t="s">
        <v>121</v>
      </c>
      <c r="B13" s="0" t="s">
        <v>208</v>
      </c>
      <c r="C13" s="0" t="n">
        <v>26.28</v>
      </c>
      <c r="D13" s="0" t="n">
        <v>8.73</v>
      </c>
      <c r="E13" s="0" t="n">
        <v>7.03</v>
      </c>
      <c r="F13" s="0" t="n">
        <v>2.93</v>
      </c>
      <c r="G13" s="0" t="n">
        <v>2.02</v>
      </c>
      <c r="H13" s="0" t="n">
        <v>5</v>
      </c>
      <c r="I13" s="0" t="n">
        <v>13</v>
      </c>
      <c r="J13" s="0" t="n">
        <v>2</v>
      </c>
      <c r="K13" s="0" t="n">
        <v>24</v>
      </c>
      <c r="L13" s="0" t="n">
        <v>6</v>
      </c>
      <c r="M13" s="0" t="n">
        <v>0.61</v>
      </c>
      <c r="N13" s="0" t="n">
        <v>10</v>
      </c>
    </row>
    <row r="14" customFormat="false" ht="15" hidden="false" customHeight="false" outlineLevel="0" collapsed="false">
      <c r="A14" s="0" t="s">
        <v>125</v>
      </c>
      <c r="B14" s="0" t="s">
        <v>208</v>
      </c>
      <c r="C14" s="0" t="n">
        <v>24.25</v>
      </c>
      <c r="D14" s="0" t="n">
        <v>8.7</v>
      </c>
      <c r="E14" s="0" t="n">
        <v>6.73</v>
      </c>
      <c r="F14" s="0" t="n">
        <v>3.17</v>
      </c>
      <c r="G14" s="0" t="n">
        <v>1.94</v>
      </c>
      <c r="H14" s="0" t="n">
        <v>20</v>
      </c>
      <c r="I14" s="0" t="n">
        <v>16</v>
      </c>
      <c r="J14" s="0" t="n">
        <v>6</v>
      </c>
      <c r="K14" s="0" t="n">
        <v>15</v>
      </c>
      <c r="L14" s="0" t="n">
        <v>14</v>
      </c>
      <c r="M14" s="0" t="n">
        <v>0.54</v>
      </c>
      <c r="N14" s="0" t="n">
        <v>20</v>
      </c>
    </row>
    <row r="15" customFormat="false" ht="15" hidden="false" customHeight="false" outlineLevel="0" collapsed="false">
      <c r="A15" s="0" t="s">
        <v>129</v>
      </c>
      <c r="B15" s="0" t="s">
        <v>208</v>
      </c>
      <c r="C15" s="0" t="n">
        <v>24.29</v>
      </c>
      <c r="D15" s="0" t="n">
        <v>9.09</v>
      </c>
      <c r="E15" s="0" t="n">
        <v>5.63</v>
      </c>
      <c r="F15" s="0" t="n">
        <v>2.88</v>
      </c>
      <c r="G15" s="0" t="n">
        <v>1.96</v>
      </c>
      <c r="H15" s="0" t="n">
        <v>19</v>
      </c>
      <c r="I15" s="0" t="n">
        <v>8</v>
      </c>
      <c r="J15" s="0" t="n">
        <v>29</v>
      </c>
      <c r="K15" s="0" t="n">
        <v>26</v>
      </c>
      <c r="L15" s="0" t="n">
        <v>11</v>
      </c>
      <c r="M15" s="0" t="n">
        <v>0.44</v>
      </c>
      <c r="N15" s="0" t="n">
        <v>29</v>
      </c>
    </row>
    <row r="16" customFormat="false" ht="15" hidden="false" customHeight="false" outlineLevel="0" collapsed="false">
      <c r="A16" s="0" t="s">
        <v>133</v>
      </c>
      <c r="B16" s="0" t="s">
        <v>208</v>
      </c>
      <c r="C16" s="0" t="n">
        <v>25.36</v>
      </c>
      <c r="D16" s="0" t="n">
        <v>8.82</v>
      </c>
      <c r="E16" s="0" t="n">
        <v>6.81</v>
      </c>
      <c r="F16" s="0" t="n">
        <v>3.67</v>
      </c>
      <c r="G16" s="0" t="n">
        <v>1.99</v>
      </c>
      <c r="H16" s="0" t="n">
        <v>12</v>
      </c>
      <c r="I16" s="0" t="n">
        <v>12</v>
      </c>
      <c r="J16" s="0" t="n">
        <v>5</v>
      </c>
      <c r="K16" s="0" t="n">
        <v>3</v>
      </c>
      <c r="L16" s="0" t="n">
        <v>9</v>
      </c>
      <c r="M16" s="0" t="n">
        <v>0.62</v>
      </c>
      <c r="N16" s="0" t="n">
        <v>9</v>
      </c>
    </row>
    <row r="17" customFormat="false" ht="15" hidden="false" customHeight="false" outlineLevel="0" collapsed="false">
      <c r="A17" s="0" t="s">
        <v>137</v>
      </c>
      <c r="B17" s="0" t="s">
        <v>208</v>
      </c>
      <c r="C17" s="0" t="n">
        <v>25.35</v>
      </c>
      <c r="D17" s="0" t="n">
        <v>9.16</v>
      </c>
      <c r="E17" s="0" t="n">
        <v>6.89</v>
      </c>
      <c r="F17" s="0" t="n">
        <v>3.59</v>
      </c>
      <c r="G17" s="0" t="n">
        <v>1.78</v>
      </c>
      <c r="H17" s="0" t="n">
        <v>13</v>
      </c>
      <c r="I17" s="0" t="n">
        <v>6</v>
      </c>
      <c r="J17" s="0" t="n">
        <v>4</v>
      </c>
      <c r="K17" s="0" t="n">
        <v>4</v>
      </c>
      <c r="L17" s="0" t="n">
        <v>19</v>
      </c>
      <c r="M17" s="0" t="n">
        <v>0.64</v>
      </c>
      <c r="N17" s="0" t="n">
        <v>5</v>
      </c>
    </row>
    <row r="18" customFormat="false" ht="15" hidden="false" customHeight="false" outlineLevel="0" collapsed="false">
      <c r="A18" s="0" t="s">
        <v>141</v>
      </c>
      <c r="B18" s="0" t="s">
        <v>208</v>
      </c>
      <c r="C18" s="0" t="n">
        <v>26.47</v>
      </c>
      <c r="D18" s="0" t="n">
        <v>9.2</v>
      </c>
      <c r="E18" s="0" t="n">
        <v>6.6</v>
      </c>
      <c r="F18" s="0" t="n">
        <v>3.71</v>
      </c>
      <c r="G18" s="0" t="n">
        <v>1.77</v>
      </c>
      <c r="H18" s="0" t="n">
        <v>4</v>
      </c>
      <c r="I18" s="0" t="n">
        <v>3</v>
      </c>
      <c r="J18" s="0" t="n">
        <v>9</v>
      </c>
      <c r="K18" s="0" t="n">
        <v>2</v>
      </c>
      <c r="L18" s="0" t="n">
        <v>20</v>
      </c>
      <c r="M18" s="0" t="n">
        <v>0.45</v>
      </c>
      <c r="N18" s="0" t="n">
        <v>28</v>
      </c>
    </row>
    <row r="19" customFormat="false" ht="15" hidden="false" customHeight="false" outlineLevel="0" collapsed="false">
      <c r="A19" s="0" t="s">
        <v>145</v>
      </c>
      <c r="B19" s="0" t="s">
        <v>208</v>
      </c>
      <c r="C19" s="0" t="n">
        <v>26.23</v>
      </c>
      <c r="D19" s="0" t="n">
        <v>8.43</v>
      </c>
      <c r="E19" s="0" t="n">
        <v>6.96</v>
      </c>
      <c r="F19" s="0" t="n">
        <v>2.8</v>
      </c>
      <c r="G19" s="0" t="n">
        <v>1.81</v>
      </c>
      <c r="H19" s="0" t="n">
        <v>6</v>
      </c>
      <c r="I19" s="0" t="n">
        <v>19</v>
      </c>
      <c r="J19" s="0" t="n">
        <v>3</v>
      </c>
      <c r="K19" s="0" t="n">
        <v>29</v>
      </c>
      <c r="L19" s="0" t="n">
        <v>18</v>
      </c>
      <c r="M19" s="0" t="n">
        <v>0.42</v>
      </c>
      <c r="N19" s="0" t="n">
        <v>30</v>
      </c>
    </row>
    <row r="20" customFormat="false" ht="15" hidden="false" customHeight="false" outlineLevel="0" collapsed="false">
      <c r="A20" s="0" t="s">
        <v>149</v>
      </c>
      <c r="B20" s="0" t="s">
        <v>208</v>
      </c>
      <c r="C20" s="0" t="n">
        <v>24.87</v>
      </c>
      <c r="D20" s="0" t="n">
        <v>9.19</v>
      </c>
      <c r="E20" s="0" t="n">
        <v>5.87</v>
      </c>
      <c r="F20" s="0" t="n">
        <v>3.53</v>
      </c>
      <c r="G20" s="0" t="n">
        <v>1.67</v>
      </c>
      <c r="H20" s="0" t="n">
        <v>15</v>
      </c>
      <c r="I20" s="0" t="n">
        <v>4</v>
      </c>
      <c r="J20" s="0" t="n">
        <v>23</v>
      </c>
      <c r="K20" s="0" t="n">
        <v>6</v>
      </c>
      <c r="L20" s="0" t="n">
        <v>25</v>
      </c>
      <c r="M20" s="0" t="n">
        <v>0.49</v>
      </c>
      <c r="N20" s="0" t="n">
        <v>27</v>
      </c>
    </row>
    <row r="21" customFormat="false" ht="15" hidden="false" customHeight="false" outlineLevel="0" collapsed="false">
      <c r="A21" s="0" t="s">
        <v>153</v>
      </c>
      <c r="B21" s="0" t="s">
        <v>208</v>
      </c>
      <c r="C21" s="0" t="n">
        <v>23.39</v>
      </c>
      <c r="D21" s="0" t="n">
        <v>7.36</v>
      </c>
      <c r="E21" s="0" t="n">
        <v>4.9</v>
      </c>
      <c r="F21" s="0" t="n">
        <v>3.03</v>
      </c>
      <c r="G21" s="0" t="n">
        <v>1.67</v>
      </c>
      <c r="H21" s="0" t="n">
        <v>28</v>
      </c>
      <c r="I21" s="0" t="n">
        <v>29</v>
      </c>
      <c r="J21" s="0" t="n">
        <v>30</v>
      </c>
      <c r="K21" s="0" t="n">
        <v>18</v>
      </c>
      <c r="L21" s="0" t="n">
        <v>25</v>
      </c>
      <c r="M21" s="0" t="n">
        <v>0.6</v>
      </c>
      <c r="N21" s="0" t="n">
        <v>13</v>
      </c>
    </row>
    <row r="22" customFormat="false" ht="15" hidden="false" customHeight="false" outlineLevel="0" collapsed="false">
      <c r="A22" s="0" t="s">
        <v>157</v>
      </c>
      <c r="B22" s="0" t="s">
        <v>208</v>
      </c>
      <c r="C22" s="0" t="n">
        <v>22.18</v>
      </c>
      <c r="D22" s="0" t="n">
        <v>7.67</v>
      </c>
      <c r="E22" s="0" t="n">
        <v>6.44</v>
      </c>
      <c r="F22" s="0" t="n">
        <v>3.36</v>
      </c>
      <c r="G22" s="0" t="n">
        <v>1.65</v>
      </c>
      <c r="H22" s="0" t="n">
        <v>30</v>
      </c>
      <c r="I22" s="0" t="n">
        <v>26</v>
      </c>
      <c r="J22" s="0" t="n">
        <v>12</v>
      </c>
      <c r="K22" s="0" t="n">
        <v>9</v>
      </c>
      <c r="L22" s="0" t="n">
        <v>27</v>
      </c>
      <c r="M22" s="0" t="n">
        <v>0.54</v>
      </c>
      <c r="N22" s="0" t="n">
        <v>20</v>
      </c>
    </row>
    <row r="23" customFormat="false" ht="15" hidden="false" customHeight="false" outlineLevel="0" collapsed="false">
      <c r="A23" s="0" t="s">
        <v>160</v>
      </c>
      <c r="B23" s="0" t="s">
        <v>208</v>
      </c>
      <c r="C23" s="0" t="n">
        <v>27.03</v>
      </c>
      <c r="D23" s="0" t="n">
        <v>8.45</v>
      </c>
      <c r="E23" s="0" t="n">
        <v>6.02</v>
      </c>
      <c r="F23" s="0" t="n">
        <v>3.01</v>
      </c>
      <c r="G23" s="0" t="n">
        <v>1.82</v>
      </c>
      <c r="H23" s="0" t="n">
        <v>1</v>
      </c>
      <c r="I23" s="0" t="n">
        <v>18</v>
      </c>
      <c r="J23" s="0" t="n">
        <v>19</v>
      </c>
      <c r="K23" s="0" t="n">
        <v>19</v>
      </c>
      <c r="L23" s="0" t="n">
        <v>17</v>
      </c>
      <c r="M23" s="0" t="n">
        <v>0.58</v>
      </c>
      <c r="N23" s="0" t="n">
        <v>17</v>
      </c>
    </row>
    <row r="24" customFormat="false" ht="15" hidden="false" customHeight="false" outlineLevel="0" collapsed="false">
      <c r="A24" s="0" t="s">
        <v>164</v>
      </c>
      <c r="B24" s="0" t="s">
        <v>208</v>
      </c>
      <c r="C24" s="0" t="n">
        <v>23.57</v>
      </c>
      <c r="D24" s="0" t="n">
        <v>7.94</v>
      </c>
      <c r="E24" s="0" t="n">
        <v>6.27</v>
      </c>
      <c r="F24" s="0" t="n">
        <v>3.24</v>
      </c>
      <c r="G24" s="0" t="n">
        <v>1.57</v>
      </c>
      <c r="H24" s="0" t="n">
        <v>27</v>
      </c>
      <c r="I24" s="0" t="n">
        <v>22</v>
      </c>
      <c r="J24" s="0" t="n">
        <v>14</v>
      </c>
      <c r="K24" s="0" t="n">
        <v>13</v>
      </c>
      <c r="L24" s="0" t="n">
        <v>29</v>
      </c>
      <c r="M24" s="0" t="n">
        <v>0.6</v>
      </c>
      <c r="N24" s="0" t="n">
        <v>13</v>
      </c>
    </row>
    <row r="25" customFormat="false" ht="15" hidden="false" customHeight="false" outlineLevel="0" collapsed="false">
      <c r="A25" s="0" t="s">
        <v>168</v>
      </c>
      <c r="B25" s="0" t="s">
        <v>208</v>
      </c>
      <c r="C25" s="0" t="n">
        <v>24.53</v>
      </c>
      <c r="D25" s="0" t="n">
        <v>7.77</v>
      </c>
      <c r="E25" s="0" t="n">
        <v>6.09</v>
      </c>
      <c r="F25" s="0" t="n">
        <v>2.83</v>
      </c>
      <c r="G25" s="0" t="n">
        <v>1.95</v>
      </c>
      <c r="H25" s="0" t="n">
        <v>17</v>
      </c>
      <c r="I25" s="0" t="n">
        <v>25</v>
      </c>
      <c r="J25" s="0" t="n">
        <v>16</v>
      </c>
      <c r="K25" s="0" t="n">
        <v>27</v>
      </c>
      <c r="L25" s="0" t="n">
        <v>12</v>
      </c>
      <c r="M25" s="0" t="n">
        <v>0.52</v>
      </c>
      <c r="N25" s="0" t="n">
        <v>23</v>
      </c>
    </row>
    <row r="26" customFormat="false" ht="15" hidden="false" customHeight="false" outlineLevel="0" collapsed="false">
      <c r="A26" s="0" t="s">
        <v>172</v>
      </c>
      <c r="B26" s="0" t="s">
        <v>208</v>
      </c>
      <c r="C26" s="0" t="n">
        <v>25.38</v>
      </c>
      <c r="D26" s="0" t="n">
        <v>8.23</v>
      </c>
      <c r="E26" s="0" t="n">
        <v>6.03</v>
      </c>
      <c r="F26" s="0" t="n">
        <v>2.82</v>
      </c>
      <c r="G26" s="0" t="n">
        <v>2.41</v>
      </c>
      <c r="H26" s="0" t="n">
        <v>11</v>
      </c>
      <c r="I26" s="0" t="n">
        <v>20</v>
      </c>
      <c r="J26" s="0" t="n">
        <v>18</v>
      </c>
      <c r="K26" s="0" t="n">
        <v>28</v>
      </c>
      <c r="L26" s="0" t="n">
        <v>1</v>
      </c>
      <c r="M26" s="0" t="n">
        <v>0.59</v>
      </c>
      <c r="N26" s="0" t="n">
        <v>15</v>
      </c>
    </row>
    <row r="27" customFormat="false" ht="15" hidden="false" customHeight="false" outlineLevel="0" collapsed="false">
      <c r="A27" s="0" t="s">
        <v>176</v>
      </c>
      <c r="B27" s="0" t="s">
        <v>208</v>
      </c>
      <c r="C27" s="0" t="n">
        <v>26.61</v>
      </c>
      <c r="D27" s="0" t="n">
        <v>9.05</v>
      </c>
      <c r="E27" s="0" t="n">
        <v>6.67</v>
      </c>
      <c r="F27" s="0" t="n">
        <v>3.45</v>
      </c>
      <c r="G27" s="0" t="n">
        <v>1.89</v>
      </c>
      <c r="H27" s="0" t="n">
        <v>2</v>
      </c>
      <c r="I27" s="0" t="n">
        <v>9</v>
      </c>
      <c r="J27" s="0" t="n">
        <v>8</v>
      </c>
      <c r="K27" s="0" t="n">
        <v>8</v>
      </c>
      <c r="L27" s="0" t="n">
        <v>15</v>
      </c>
      <c r="M27" s="0" t="n">
        <v>0.61</v>
      </c>
      <c r="N27" s="0" t="n">
        <v>10</v>
      </c>
    </row>
    <row r="28" customFormat="false" ht="15" hidden="false" customHeight="false" outlineLevel="0" collapsed="false">
      <c r="A28" s="0" t="s">
        <v>179</v>
      </c>
      <c r="B28" s="0" t="s">
        <v>208</v>
      </c>
      <c r="C28" s="0" t="n">
        <v>24.69</v>
      </c>
      <c r="D28" s="0" t="n">
        <v>7.81</v>
      </c>
      <c r="E28" s="0" t="n">
        <v>6.04</v>
      </c>
      <c r="F28" s="0" t="n">
        <v>2.94</v>
      </c>
      <c r="G28" s="0" t="n">
        <v>1.7</v>
      </c>
      <c r="H28" s="0" t="n">
        <v>16</v>
      </c>
      <c r="I28" s="0" t="n">
        <v>24</v>
      </c>
      <c r="J28" s="0" t="n">
        <v>17</v>
      </c>
      <c r="K28" s="0" t="n">
        <v>23</v>
      </c>
      <c r="L28" s="0" t="n">
        <v>24</v>
      </c>
      <c r="M28" s="0" t="n">
        <v>0.66</v>
      </c>
      <c r="N28" s="0" t="n">
        <v>4</v>
      </c>
    </row>
    <row r="29" customFormat="false" ht="15" hidden="false" customHeight="false" outlineLevel="0" collapsed="false">
      <c r="A29" s="0" t="s">
        <v>183</v>
      </c>
      <c r="B29" s="0" t="s">
        <v>208</v>
      </c>
      <c r="C29" s="0" t="n">
        <v>25.79</v>
      </c>
      <c r="D29" s="0" t="n">
        <v>7.5</v>
      </c>
      <c r="E29" s="0" t="n">
        <v>6</v>
      </c>
      <c r="F29" s="0" t="n">
        <v>3.16</v>
      </c>
      <c r="G29" s="0" t="n">
        <v>1.95</v>
      </c>
      <c r="H29" s="0" t="n">
        <v>9</v>
      </c>
      <c r="I29" s="0" t="n">
        <v>28</v>
      </c>
      <c r="J29" s="0" t="n">
        <v>20</v>
      </c>
      <c r="K29" s="0" t="n">
        <v>16</v>
      </c>
      <c r="L29" s="0" t="n">
        <v>12</v>
      </c>
      <c r="M29" s="0" t="n">
        <v>0.7</v>
      </c>
      <c r="N29" s="0" t="n">
        <v>3</v>
      </c>
    </row>
    <row r="30" customFormat="false" ht="15" hidden="false" customHeight="false" outlineLevel="0" collapsed="false">
      <c r="A30" s="0" t="s">
        <v>187</v>
      </c>
      <c r="B30" s="0" t="s">
        <v>208</v>
      </c>
      <c r="C30" s="0" t="n">
        <v>26.56</v>
      </c>
      <c r="D30" s="0" t="n">
        <v>9.3</v>
      </c>
      <c r="E30" s="0" t="n">
        <v>6.68</v>
      </c>
      <c r="F30" s="0" t="n">
        <v>3.74</v>
      </c>
      <c r="G30" s="0" t="n">
        <v>2.11</v>
      </c>
      <c r="H30" s="0" t="n">
        <v>3</v>
      </c>
      <c r="I30" s="0" t="n">
        <v>2</v>
      </c>
      <c r="J30" s="0" t="n">
        <v>7</v>
      </c>
      <c r="K30" s="0" t="n">
        <v>1</v>
      </c>
      <c r="L30" s="0" t="n">
        <v>4</v>
      </c>
      <c r="M30" s="0" t="n">
        <v>0.75</v>
      </c>
      <c r="N30" s="0" t="n">
        <v>1</v>
      </c>
    </row>
    <row r="31" customFormat="false" ht="15" hidden="false" customHeight="false" outlineLevel="0" collapsed="false">
      <c r="A31" s="0" t="s">
        <v>191</v>
      </c>
      <c r="B31" s="0" t="s">
        <v>208</v>
      </c>
      <c r="C31" s="0" t="n">
        <v>25.6</v>
      </c>
      <c r="D31" s="0" t="n">
        <v>9.11</v>
      </c>
      <c r="E31" s="0" t="n">
        <v>6.57</v>
      </c>
      <c r="F31" s="0" t="n">
        <v>3.25</v>
      </c>
      <c r="G31" s="0" t="n">
        <v>2.11</v>
      </c>
      <c r="H31" s="0" t="n">
        <v>10</v>
      </c>
      <c r="I31" s="0" t="n">
        <v>7</v>
      </c>
      <c r="J31" s="0" t="n">
        <v>10</v>
      </c>
      <c r="K31" s="0" t="n">
        <v>12</v>
      </c>
      <c r="L31" s="0" t="n">
        <v>4</v>
      </c>
      <c r="M31" s="0" t="n">
        <v>0.63</v>
      </c>
      <c r="N31" s="0" t="n">
        <v>8</v>
      </c>
    </row>
    <row r="32" customFormat="false" ht="15" hidden="false" customHeight="false" outlineLevel="0" collapsed="false">
      <c r="A32" s="0" t="s">
        <v>78</v>
      </c>
      <c r="B32" s="0" t="s">
        <v>209</v>
      </c>
      <c r="C32" s="0" t="n">
        <v>22</v>
      </c>
      <c r="D32" s="0" t="n">
        <v>4.41</v>
      </c>
      <c r="E32" s="0" t="n">
        <v>6.2</v>
      </c>
      <c r="F32" s="0" t="n">
        <v>3.09</v>
      </c>
      <c r="G32" s="0" t="n">
        <v>1.72</v>
      </c>
      <c r="H32" s="0" t="n">
        <v>16</v>
      </c>
      <c r="I32" s="0" t="n">
        <v>28</v>
      </c>
      <c r="J32" s="0" t="n">
        <v>23</v>
      </c>
      <c r="K32" s="0" t="n">
        <v>15</v>
      </c>
      <c r="L32" s="0" t="n">
        <v>19</v>
      </c>
      <c r="M32" s="0" t="n">
        <v>0.51</v>
      </c>
      <c r="N32" s="0" t="n">
        <v>22</v>
      </c>
    </row>
    <row r="33" customFormat="false" ht="15" hidden="false" customHeight="false" outlineLevel="0" collapsed="false">
      <c r="A33" s="0" t="s">
        <v>86</v>
      </c>
      <c r="B33" s="0" t="s">
        <v>209</v>
      </c>
      <c r="C33" s="0" t="n">
        <v>22.04</v>
      </c>
      <c r="D33" s="0" t="n">
        <v>5.1</v>
      </c>
      <c r="E33" s="0" t="n">
        <v>6.35</v>
      </c>
      <c r="F33" s="0" t="n">
        <v>3.19</v>
      </c>
      <c r="G33" s="0" t="n">
        <v>1.94</v>
      </c>
      <c r="H33" s="0" t="n">
        <v>15</v>
      </c>
      <c r="I33" s="0" t="n">
        <v>12</v>
      </c>
      <c r="J33" s="0" t="n">
        <v>17</v>
      </c>
      <c r="K33" s="0" t="n">
        <v>11</v>
      </c>
      <c r="L33" s="0" t="n">
        <v>8</v>
      </c>
      <c r="M33" s="0" t="n">
        <v>0.71</v>
      </c>
      <c r="N33" s="0" t="n">
        <v>3</v>
      </c>
    </row>
    <row r="34" customFormat="false" ht="15" hidden="false" customHeight="false" outlineLevel="0" collapsed="false">
      <c r="A34" s="0" t="s">
        <v>82</v>
      </c>
      <c r="B34" s="0" t="s">
        <v>209</v>
      </c>
      <c r="C34" s="0" t="n">
        <v>19.98</v>
      </c>
      <c r="D34" s="0" t="n">
        <v>4.82</v>
      </c>
      <c r="E34" s="0" t="n">
        <v>6.45</v>
      </c>
      <c r="F34" s="0" t="n">
        <v>2.8</v>
      </c>
      <c r="G34" s="0" t="n">
        <v>1.19</v>
      </c>
      <c r="H34" s="0" t="n">
        <v>30</v>
      </c>
      <c r="I34" s="0" t="n">
        <v>22</v>
      </c>
      <c r="J34" s="0" t="n">
        <v>11</v>
      </c>
      <c r="K34" s="0" t="n">
        <v>26</v>
      </c>
      <c r="L34" s="0" t="n">
        <v>30</v>
      </c>
      <c r="M34" s="0" t="n">
        <v>0.58</v>
      </c>
      <c r="N34" s="0" t="n">
        <v>15</v>
      </c>
    </row>
    <row r="35" customFormat="false" ht="15" hidden="false" customHeight="false" outlineLevel="0" collapsed="false">
      <c r="A35" s="0" t="s">
        <v>90</v>
      </c>
      <c r="B35" s="0" t="s">
        <v>209</v>
      </c>
      <c r="C35" s="0" t="n">
        <v>21.06</v>
      </c>
      <c r="D35" s="0" t="n">
        <v>5.2</v>
      </c>
      <c r="E35" s="0" t="n">
        <v>6.42</v>
      </c>
      <c r="F35" s="0" t="n">
        <v>2.76</v>
      </c>
      <c r="G35" s="0" t="n">
        <v>1.74</v>
      </c>
      <c r="H35" s="0" t="n">
        <v>27</v>
      </c>
      <c r="I35" s="0" t="n">
        <v>9</v>
      </c>
      <c r="J35" s="0" t="n">
        <v>14</v>
      </c>
      <c r="K35" s="0" t="n">
        <v>28</v>
      </c>
      <c r="L35" s="0" t="n">
        <v>17</v>
      </c>
      <c r="M35" s="0" t="n">
        <v>0.46</v>
      </c>
      <c r="N35" s="0" t="n">
        <v>27</v>
      </c>
    </row>
    <row r="36" customFormat="false" ht="15" hidden="false" customHeight="false" outlineLevel="0" collapsed="false">
      <c r="A36" s="0" t="s">
        <v>4</v>
      </c>
      <c r="B36" s="0" t="s">
        <v>209</v>
      </c>
      <c r="C36" s="0" t="n">
        <v>23.87</v>
      </c>
      <c r="D36" s="0" t="n">
        <v>5.47</v>
      </c>
      <c r="E36" s="0" t="n">
        <v>6.62</v>
      </c>
      <c r="F36" s="0" t="n">
        <v>3.31</v>
      </c>
      <c r="G36" s="0" t="n">
        <v>2.19</v>
      </c>
      <c r="H36" s="0" t="n">
        <v>3</v>
      </c>
      <c r="I36" s="0" t="n">
        <v>4</v>
      </c>
      <c r="J36" s="0" t="n">
        <v>10</v>
      </c>
      <c r="K36" s="0" t="n">
        <v>7</v>
      </c>
      <c r="L36" s="0" t="n">
        <v>3</v>
      </c>
      <c r="M36" s="0" t="n">
        <v>0.76</v>
      </c>
      <c r="N36" s="0" t="n">
        <v>1</v>
      </c>
    </row>
    <row r="37" customFormat="false" ht="15" hidden="false" customHeight="false" outlineLevel="0" collapsed="false">
      <c r="A37" s="0" t="s">
        <v>97</v>
      </c>
      <c r="B37" s="0" t="s">
        <v>209</v>
      </c>
      <c r="C37" s="0" t="n">
        <v>21.85</v>
      </c>
      <c r="D37" s="0" t="n">
        <v>4.63</v>
      </c>
      <c r="E37" s="0" t="n">
        <v>5.95</v>
      </c>
      <c r="F37" s="0" t="n">
        <v>3.31</v>
      </c>
      <c r="G37" s="0" t="n">
        <v>1.85</v>
      </c>
      <c r="H37" s="0" t="n">
        <v>19</v>
      </c>
      <c r="I37" s="0" t="n">
        <v>26</v>
      </c>
      <c r="J37" s="0" t="n">
        <v>26</v>
      </c>
      <c r="K37" s="0" t="n">
        <v>7</v>
      </c>
      <c r="L37" s="0" t="n">
        <v>11</v>
      </c>
      <c r="M37" s="0" t="n">
        <v>0.54</v>
      </c>
      <c r="N37" s="0" t="n">
        <v>19</v>
      </c>
    </row>
    <row r="38" customFormat="false" ht="15" hidden="false" customHeight="false" outlineLevel="0" collapsed="false">
      <c r="A38" s="0" t="s">
        <v>101</v>
      </c>
      <c r="B38" s="0" t="s">
        <v>209</v>
      </c>
      <c r="C38" s="0" t="n">
        <v>21.95</v>
      </c>
      <c r="D38" s="0" t="n">
        <v>4.86</v>
      </c>
      <c r="E38" s="0" t="n">
        <v>7.14</v>
      </c>
      <c r="F38" s="0" t="n">
        <v>2.99</v>
      </c>
      <c r="G38" s="0" t="n">
        <v>1.96</v>
      </c>
      <c r="H38" s="0" t="n">
        <v>17</v>
      </c>
      <c r="I38" s="0" t="n">
        <v>20</v>
      </c>
      <c r="J38" s="0" t="n">
        <v>2</v>
      </c>
      <c r="K38" s="0" t="n">
        <v>21</v>
      </c>
      <c r="L38" s="0" t="n">
        <v>7</v>
      </c>
      <c r="M38" s="0" t="n">
        <v>0.6</v>
      </c>
      <c r="N38" s="0" t="n">
        <v>14</v>
      </c>
    </row>
    <row r="39" customFormat="false" ht="15" hidden="false" customHeight="false" outlineLevel="0" collapsed="false">
      <c r="A39" s="0" t="s">
        <v>105</v>
      </c>
      <c r="B39" s="0" t="s">
        <v>209</v>
      </c>
      <c r="C39" s="0" t="n">
        <v>22.91</v>
      </c>
      <c r="D39" s="0" t="n">
        <v>5.02</v>
      </c>
      <c r="E39" s="0" t="n">
        <v>6.24</v>
      </c>
      <c r="F39" s="0" t="n">
        <v>3.27</v>
      </c>
      <c r="G39" s="0" t="n">
        <v>1.58</v>
      </c>
      <c r="H39" s="0" t="n">
        <v>8</v>
      </c>
      <c r="I39" s="0" t="n">
        <v>13</v>
      </c>
      <c r="J39" s="0" t="n">
        <v>22</v>
      </c>
      <c r="K39" s="0" t="n">
        <v>9</v>
      </c>
      <c r="L39" s="0" t="n">
        <v>22</v>
      </c>
      <c r="M39" s="0" t="n">
        <v>0.54</v>
      </c>
      <c r="N39" s="0" t="n">
        <v>19</v>
      </c>
    </row>
    <row r="40" customFormat="false" ht="15" hidden="false" customHeight="false" outlineLevel="0" collapsed="false">
      <c r="A40" s="0" t="s">
        <v>109</v>
      </c>
      <c r="B40" s="0" t="s">
        <v>209</v>
      </c>
      <c r="C40" s="0" t="n">
        <v>22.2</v>
      </c>
      <c r="D40" s="0" t="n">
        <v>4.06</v>
      </c>
      <c r="E40" s="0" t="n">
        <v>5.74</v>
      </c>
      <c r="F40" s="0" t="n">
        <v>2.93</v>
      </c>
      <c r="G40" s="0" t="n">
        <v>1.78</v>
      </c>
      <c r="H40" s="0" t="n">
        <v>14</v>
      </c>
      <c r="I40" s="0" t="n">
        <v>30</v>
      </c>
      <c r="J40" s="0" t="n">
        <v>29</v>
      </c>
      <c r="K40" s="0" t="n">
        <v>24</v>
      </c>
      <c r="L40" s="0" t="n">
        <v>15</v>
      </c>
      <c r="M40" s="0" t="n">
        <v>0.74</v>
      </c>
      <c r="N40" s="0" t="n">
        <v>2</v>
      </c>
    </row>
    <row r="41" customFormat="false" ht="15" hidden="false" customHeight="false" outlineLevel="0" collapsed="false">
      <c r="A41" s="0" t="s">
        <v>113</v>
      </c>
      <c r="B41" s="0" t="s">
        <v>209</v>
      </c>
      <c r="C41" s="0" t="n">
        <v>22.53</v>
      </c>
      <c r="D41" s="0" t="n">
        <v>5.17</v>
      </c>
      <c r="E41" s="0" t="n">
        <v>6.33</v>
      </c>
      <c r="F41" s="0" t="n">
        <v>3.06</v>
      </c>
      <c r="G41" s="0" t="n">
        <v>1.79</v>
      </c>
      <c r="H41" s="0" t="n">
        <v>12</v>
      </c>
      <c r="I41" s="0" t="n">
        <v>10</v>
      </c>
      <c r="J41" s="0" t="n">
        <v>18</v>
      </c>
      <c r="K41" s="0" t="n">
        <v>16</v>
      </c>
      <c r="L41" s="0" t="n">
        <v>13</v>
      </c>
      <c r="M41" s="0" t="n">
        <v>0.45</v>
      </c>
      <c r="N41" s="0" t="n">
        <v>29</v>
      </c>
    </row>
    <row r="42" customFormat="false" ht="15" hidden="false" customHeight="false" outlineLevel="0" collapsed="false">
      <c r="A42" s="0" t="s">
        <v>117</v>
      </c>
      <c r="B42" s="0" t="s">
        <v>209</v>
      </c>
      <c r="C42" s="0" t="n">
        <v>20.62</v>
      </c>
      <c r="D42" s="0" t="n">
        <v>4.8</v>
      </c>
      <c r="E42" s="0" t="n">
        <v>5.74</v>
      </c>
      <c r="F42" s="0" t="n">
        <v>2.89</v>
      </c>
      <c r="G42" s="0" t="n">
        <v>1.88</v>
      </c>
      <c r="H42" s="0" t="n">
        <v>29</v>
      </c>
      <c r="I42" s="0" t="n">
        <v>23</v>
      </c>
      <c r="J42" s="0" t="n">
        <v>29</v>
      </c>
      <c r="K42" s="0" t="n">
        <v>25</v>
      </c>
      <c r="L42" s="0" t="n">
        <v>10</v>
      </c>
      <c r="M42" s="0" t="n">
        <v>0.67</v>
      </c>
      <c r="N42" s="0" t="n">
        <v>6</v>
      </c>
    </row>
    <row r="43" customFormat="false" ht="15" hidden="false" customHeight="false" outlineLevel="0" collapsed="false">
      <c r="A43" s="0" t="s">
        <v>121</v>
      </c>
      <c r="B43" s="0" t="s">
        <v>209</v>
      </c>
      <c r="C43" s="0" t="n">
        <v>22.5</v>
      </c>
      <c r="D43" s="0" t="n">
        <v>4.99</v>
      </c>
      <c r="E43" s="0" t="n">
        <v>6.91</v>
      </c>
      <c r="F43" s="0" t="n">
        <v>2.8</v>
      </c>
      <c r="G43" s="0" t="n">
        <v>1.58</v>
      </c>
      <c r="H43" s="0" t="n">
        <v>13</v>
      </c>
      <c r="I43" s="0" t="n">
        <v>15</v>
      </c>
      <c r="J43" s="0" t="n">
        <v>5</v>
      </c>
      <c r="K43" s="0" t="n">
        <v>26</v>
      </c>
      <c r="L43" s="0" t="n">
        <v>22</v>
      </c>
      <c r="M43" s="0" t="n">
        <v>0.65</v>
      </c>
      <c r="N43" s="0" t="n">
        <v>8</v>
      </c>
    </row>
    <row r="44" customFormat="false" ht="15" hidden="false" customHeight="false" outlineLevel="0" collapsed="false">
      <c r="A44" s="0" t="s">
        <v>125</v>
      </c>
      <c r="B44" s="0" t="s">
        <v>209</v>
      </c>
      <c r="C44" s="0" t="n">
        <v>22.82</v>
      </c>
      <c r="D44" s="0" t="n">
        <v>4.85</v>
      </c>
      <c r="E44" s="0" t="n">
        <v>5.84</v>
      </c>
      <c r="F44" s="0" t="n">
        <v>3.49</v>
      </c>
      <c r="G44" s="0" t="n">
        <v>1.77</v>
      </c>
      <c r="H44" s="0" t="n">
        <v>9</v>
      </c>
      <c r="I44" s="0" t="n">
        <v>21</v>
      </c>
      <c r="J44" s="0" t="n">
        <v>28</v>
      </c>
      <c r="K44" s="0" t="n">
        <v>4</v>
      </c>
      <c r="L44" s="0" t="n">
        <v>16</v>
      </c>
      <c r="M44" s="0" t="n">
        <v>0.48</v>
      </c>
      <c r="N44" s="0" t="n">
        <v>25</v>
      </c>
    </row>
    <row r="45" customFormat="false" ht="15" hidden="false" customHeight="false" outlineLevel="0" collapsed="false">
      <c r="A45" s="0" t="s">
        <v>129</v>
      </c>
      <c r="B45" s="0" t="s">
        <v>209</v>
      </c>
      <c r="C45" s="0" t="n">
        <v>21.49</v>
      </c>
      <c r="D45" s="0" t="n">
        <v>4.93</v>
      </c>
      <c r="E45" s="0" t="n">
        <v>5.92</v>
      </c>
      <c r="F45" s="0" t="n">
        <v>3.06</v>
      </c>
      <c r="G45" s="0" t="n">
        <v>2.03</v>
      </c>
      <c r="H45" s="0" t="n">
        <v>22</v>
      </c>
      <c r="I45" s="0" t="n">
        <v>18</v>
      </c>
      <c r="J45" s="0" t="n">
        <v>27</v>
      </c>
      <c r="K45" s="0" t="n">
        <v>16</v>
      </c>
      <c r="L45" s="0" t="n">
        <v>5</v>
      </c>
      <c r="M45" s="0" t="n">
        <v>0.46</v>
      </c>
      <c r="N45" s="0" t="n">
        <v>27</v>
      </c>
    </row>
    <row r="46" customFormat="false" ht="15" hidden="false" customHeight="false" outlineLevel="0" collapsed="false">
      <c r="A46" s="0" t="s">
        <v>133</v>
      </c>
      <c r="B46" s="0" t="s">
        <v>209</v>
      </c>
      <c r="C46" s="0" t="n">
        <v>23.79</v>
      </c>
      <c r="D46" s="0" t="n">
        <v>5.34</v>
      </c>
      <c r="E46" s="0" t="n">
        <v>6.65</v>
      </c>
      <c r="F46" s="0" t="n">
        <v>3.37</v>
      </c>
      <c r="G46" s="0" t="n">
        <v>1.9</v>
      </c>
      <c r="H46" s="0" t="n">
        <v>4</v>
      </c>
      <c r="I46" s="0" t="n">
        <v>7</v>
      </c>
      <c r="J46" s="0" t="n">
        <v>8</v>
      </c>
      <c r="K46" s="0" t="n">
        <v>5</v>
      </c>
      <c r="L46" s="0" t="n">
        <v>9</v>
      </c>
      <c r="M46" s="0" t="n">
        <v>0.68</v>
      </c>
      <c r="N46" s="0" t="n">
        <v>5</v>
      </c>
    </row>
    <row r="47" customFormat="false" ht="15" hidden="false" customHeight="false" outlineLevel="0" collapsed="false">
      <c r="A47" s="0" t="s">
        <v>137</v>
      </c>
      <c r="B47" s="0" t="s">
        <v>209</v>
      </c>
      <c r="C47" s="0" t="n">
        <v>22.96</v>
      </c>
      <c r="D47" s="0" t="n">
        <v>5.3</v>
      </c>
      <c r="E47" s="0" t="n">
        <v>7.19</v>
      </c>
      <c r="F47" s="0" t="n">
        <v>3.16</v>
      </c>
      <c r="G47" s="0" t="n">
        <v>1.51</v>
      </c>
      <c r="H47" s="0" t="n">
        <v>7</v>
      </c>
      <c r="I47" s="0" t="n">
        <v>8</v>
      </c>
      <c r="J47" s="0" t="n">
        <v>1</v>
      </c>
      <c r="K47" s="0" t="n">
        <v>13</v>
      </c>
      <c r="L47" s="0" t="n">
        <v>26</v>
      </c>
      <c r="M47" s="0" t="n">
        <v>0.69</v>
      </c>
      <c r="N47" s="0" t="n">
        <v>4</v>
      </c>
    </row>
    <row r="48" customFormat="false" ht="15" hidden="false" customHeight="false" outlineLevel="0" collapsed="false">
      <c r="A48" s="0" t="s">
        <v>141</v>
      </c>
      <c r="B48" s="0" t="s">
        <v>209</v>
      </c>
      <c r="C48" s="0" t="n">
        <v>22.67</v>
      </c>
      <c r="D48" s="0" t="n">
        <v>5.01</v>
      </c>
      <c r="E48" s="0" t="n">
        <v>6.72</v>
      </c>
      <c r="F48" s="0" t="n">
        <v>3.68</v>
      </c>
      <c r="G48" s="0" t="n">
        <v>1.81</v>
      </c>
      <c r="H48" s="0" t="n">
        <v>11</v>
      </c>
      <c r="I48" s="0" t="n">
        <v>14</v>
      </c>
      <c r="J48" s="0" t="n">
        <v>7</v>
      </c>
      <c r="K48" s="0" t="n">
        <v>2</v>
      </c>
      <c r="L48" s="0" t="n">
        <v>12</v>
      </c>
      <c r="M48" s="0" t="n">
        <v>0.61</v>
      </c>
      <c r="N48" s="0" t="n">
        <v>11</v>
      </c>
    </row>
    <row r="49" customFormat="false" ht="15" hidden="false" customHeight="false" outlineLevel="0" collapsed="false">
      <c r="A49" s="0" t="s">
        <v>145</v>
      </c>
      <c r="B49" s="0" t="s">
        <v>209</v>
      </c>
      <c r="C49" s="0" t="n">
        <v>21.21</v>
      </c>
      <c r="D49" s="0" t="n">
        <v>4.7</v>
      </c>
      <c r="E49" s="0" t="n">
        <v>6.43</v>
      </c>
      <c r="F49" s="0" t="n">
        <v>2.71</v>
      </c>
      <c r="G49" s="0" t="n">
        <v>1.73</v>
      </c>
      <c r="H49" s="0" t="n">
        <v>26</v>
      </c>
      <c r="I49" s="0" t="n">
        <v>25</v>
      </c>
      <c r="J49" s="0" t="n">
        <v>12</v>
      </c>
      <c r="K49" s="0" t="n">
        <v>30</v>
      </c>
      <c r="L49" s="0" t="n">
        <v>18</v>
      </c>
      <c r="M49" s="0" t="n">
        <v>0.61</v>
      </c>
      <c r="N49" s="0" t="n">
        <v>11</v>
      </c>
    </row>
    <row r="50" customFormat="false" ht="15" hidden="false" customHeight="false" outlineLevel="0" collapsed="false">
      <c r="A50" s="0" t="s">
        <v>149</v>
      </c>
      <c r="B50" s="0" t="s">
        <v>209</v>
      </c>
      <c r="C50" s="0" t="n">
        <v>24.19</v>
      </c>
      <c r="D50" s="0" t="n">
        <v>5.39</v>
      </c>
      <c r="E50" s="0" t="n">
        <v>6.77</v>
      </c>
      <c r="F50" s="0" t="n">
        <v>3.5</v>
      </c>
      <c r="G50" s="0" t="n">
        <v>1.79</v>
      </c>
      <c r="H50" s="0" t="n">
        <v>2</v>
      </c>
      <c r="I50" s="0" t="n">
        <v>5</v>
      </c>
      <c r="J50" s="0" t="n">
        <v>6</v>
      </c>
      <c r="K50" s="0" t="n">
        <v>3</v>
      </c>
      <c r="L50" s="0" t="n">
        <v>13</v>
      </c>
      <c r="M50" s="0" t="n">
        <v>0.53</v>
      </c>
      <c r="N50" s="0" t="n">
        <v>21</v>
      </c>
    </row>
    <row r="51" customFormat="false" ht="15" hidden="false" customHeight="false" outlineLevel="0" collapsed="false">
      <c r="A51" s="0" t="s">
        <v>153</v>
      </c>
      <c r="B51" s="0" t="s">
        <v>209</v>
      </c>
      <c r="C51" s="0" t="n">
        <v>21.51</v>
      </c>
      <c r="D51" s="0" t="n">
        <v>5.14</v>
      </c>
      <c r="E51" s="0" t="n">
        <v>6.43</v>
      </c>
      <c r="F51" s="0" t="n">
        <v>3.21</v>
      </c>
      <c r="G51" s="0" t="n">
        <v>1.5</v>
      </c>
      <c r="H51" s="0" t="n">
        <v>21</v>
      </c>
      <c r="I51" s="0" t="n">
        <v>11</v>
      </c>
      <c r="J51" s="0" t="n">
        <v>12</v>
      </c>
      <c r="K51" s="0" t="n">
        <v>10</v>
      </c>
      <c r="L51" s="0" t="n">
        <v>28</v>
      </c>
      <c r="M51" s="0" t="n">
        <v>0.49</v>
      </c>
      <c r="N51" s="0" t="n">
        <v>23</v>
      </c>
    </row>
    <row r="52" customFormat="false" ht="15" hidden="false" customHeight="false" outlineLevel="0" collapsed="false">
      <c r="A52" s="0" t="s">
        <v>157</v>
      </c>
      <c r="B52" s="0" t="s">
        <v>209</v>
      </c>
      <c r="C52" s="0" t="n">
        <v>21.84</v>
      </c>
      <c r="D52" s="0" t="n">
        <v>4.99</v>
      </c>
      <c r="E52" s="0" t="n">
        <v>6.93</v>
      </c>
      <c r="F52" s="0" t="n">
        <v>3.14</v>
      </c>
      <c r="G52" s="0" t="n">
        <v>1.63</v>
      </c>
      <c r="H52" s="0" t="n">
        <v>20</v>
      </c>
      <c r="I52" s="0" t="n">
        <v>15</v>
      </c>
      <c r="J52" s="0" t="n">
        <v>4</v>
      </c>
      <c r="K52" s="0" t="n">
        <v>14</v>
      </c>
      <c r="L52" s="0" t="n">
        <v>20</v>
      </c>
      <c r="M52" s="0" t="n">
        <v>0.56</v>
      </c>
      <c r="N52" s="0" t="n">
        <v>17</v>
      </c>
    </row>
    <row r="53" customFormat="false" ht="15" hidden="false" customHeight="false" outlineLevel="0" collapsed="false">
      <c r="A53" s="0" t="s">
        <v>160</v>
      </c>
      <c r="B53" s="0" t="s">
        <v>209</v>
      </c>
      <c r="C53" s="0" t="n">
        <v>21.43</v>
      </c>
      <c r="D53" s="0" t="n">
        <v>4.79</v>
      </c>
      <c r="E53" s="0" t="n">
        <v>6.15</v>
      </c>
      <c r="F53" s="0" t="n">
        <v>2.97</v>
      </c>
      <c r="G53" s="0" t="n">
        <v>1.53</v>
      </c>
      <c r="H53" s="0" t="n">
        <v>24</v>
      </c>
      <c r="I53" s="0" t="n">
        <v>24</v>
      </c>
      <c r="J53" s="0" t="n">
        <v>24</v>
      </c>
      <c r="K53" s="0" t="n">
        <v>22</v>
      </c>
      <c r="L53" s="0" t="n">
        <v>25</v>
      </c>
      <c r="M53" s="0" t="n">
        <v>0.65</v>
      </c>
      <c r="N53" s="0" t="n">
        <v>8</v>
      </c>
    </row>
    <row r="54" customFormat="false" ht="15" hidden="false" customHeight="false" outlineLevel="0" collapsed="false">
      <c r="A54" s="0" t="s">
        <v>164</v>
      </c>
      <c r="B54" s="0" t="s">
        <v>209</v>
      </c>
      <c r="C54" s="0" t="n">
        <v>23.45</v>
      </c>
      <c r="D54" s="0" t="n">
        <v>5.38</v>
      </c>
      <c r="E54" s="0" t="n">
        <v>6.63</v>
      </c>
      <c r="F54" s="0" t="n">
        <v>3.19</v>
      </c>
      <c r="G54" s="0" t="n">
        <v>1.48</v>
      </c>
      <c r="H54" s="0" t="n">
        <v>5</v>
      </c>
      <c r="I54" s="0" t="n">
        <v>6</v>
      </c>
      <c r="J54" s="0" t="n">
        <v>9</v>
      </c>
      <c r="K54" s="0" t="n">
        <v>11</v>
      </c>
      <c r="L54" s="0" t="n">
        <v>29</v>
      </c>
      <c r="M54" s="0" t="n">
        <v>0.49</v>
      </c>
      <c r="N54" s="0" t="n">
        <v>23</v>
      </c>
    </row>
    <row r="55" customFormat="false" ht="15" hidden="false" customHeight="false" outlineLevel="0" collapsed="false">
      <c r="A55" s="0" t="s">
        <v>168</v>
      </c>
      <c r="B55" s="0" t="s">
        <v>209</v>
      </c>
      <c r="C55" s="0" t="n">
        <v>21.27</v>
      </c>
      <c r="D55" s="0" t="n">
        <v>4.18</v>
      </c>
      <c r="E55" s="0" t="n">
        <v>6.42</v>
      </c>
      <c r="F55" s="0" t="n">
        <v>3.06</v>
      </c>
      <c r="G55" s="0" t="n">
        <v>1.58</v>
      </c>
      <c r="H55" s="0" t="n">
        <v>25</v>
      </c>
      <c r="I55" s="0" t="n">
        <v>29</v>
      </c>
      <c r="J55" s="0" t="n">
        <v>14</v>
      </c>
      <c r="K55" s="0" t="n">
        <v>16</v>
      </c>
      <c r="L55" s="0" t="n">
        <v>22</v>
      </c>
      <c r="M55" s="0" t="n">
        <v>0.45</v>
      </c>
      <c r="N55" s="0" t="n">
        <v>29</v>
      </c>
    </row>
    <row r="56" customFormat="false" ht="15" hidden="false" customHeight="false" outlineLevel="0" collapsed="false">
      <c r="A56" s="0" t="s">
        <v>172</v>
      </c>
      <c r="B56" s="0" t="s">
        <v>209</v>
      </c>
      <c r="C56" s="0" t="n">
        <v>21.49</v>
      </c>
      <c r="D56" s="0" t="n">
        <v>4.88</v>
      </c>
      <c r="E56" s="0" t="n">
        <v>6.27</v>
      </c>
      <c r="F56" s="0" t="n">
        <v>2.74</v>
      </c>
      <c r="G56" s="0" t="n">
        <v>2.28</v>
      </c>
      <c r="H56" s="0" t="n">
        <v>22</v>
      </c>
      <c r="I56" s="0" t="n">
        <v>19</v>
      </c>
      <c r="J56" s="0" t="n">
        <v>20</v>
      </c>
      <c r="K56" s="0" t="n">
        <v>29</v>
      </c>
      <c r="L56" s="0" t="n">
        <v>1</v>
      </c>
      <c r="M56" s="0" t="n">
        <v>0.63</v>
      </c>
      <c r="N56" s="0" t="n">
        <v>10</v>
      </c>
    </row>
    <row r="57" customFormat="false" ht="15" hidden="false" customHeight="false" outlineLevel="0" collapsed="false">
      <c r="A57" s="0" t="s">
        <v>176</v>
      </c>
      <c r="B57" s="0" t="s">
        <v>209</v>
      </c>
      <c r="C57" s="0" t="n">
        <v>23.24</v>
      </c>
      <c r="D57" s="0" t="n">
        <v>5.57</v>
      </c>
      <c r="E57" s="0" t="n">
        <v>6.26</v>
      </c>
      <c r="F57" s="0" t="n">
        <v>3.34</v>
      </c>
      <c r="G57" s="0" t="n">
        <v>2</v>
      </c>
      <c r="H57" s="0" t="n">
        <v>6</v>
      </c>
      <c r="I57" s="0" t="n">
        <v>3</v>
      </c>
      <c r="J57" s="0" t="n">
        <v>21</v>
      </c>
      <c r="K57" s="0" t="n">
        <v>6</v>
      </c>
      <c r="L57" s="0" t="n">
        <v>6</v>
      </c>
      <c r="M57" s="0" t="n">
        <v>0.47</v>
      </c>
      <c r="N57" s="0" t="n">
        <v>26</v>
      </c>
    </row>
    <row r="58" customFormat="false" ht="15" hidden="false" customHeight="false" outlineLevel="0" collapsed="false">
      <c r="A58" s="0" t="s">
        <v>179</v>
      </c>
      <c r="B58" s="0" t="s">
        <v>209</v>
      </c>
      <c r="C58" s="0" t="n">
        <v>20.65</v>
      </c>
      <c r="D58" s="0" t="n">
        <v>4.59</v>
      </c>
      <c r="E58" s="0" t="n">
        <v>6.38</v>
      </c>
      <c r="F58" s="0" t="n">
        <v>3.06</v>
      </c>
      <c r="G58" s="0" t="n">
        <v>1.51</v>
      </c>
      <c r="H58" s="0" t="n">
        <v>28</v>
      </c>
      <c r="I58" s="0" t="n">
        <v>27</v>
      </c>
      <c r="J58" s="0" t="n">
        <v>16</v>
      </c>
      <c r="K58" s="0" t="n">
        <v>16</v>
      </c>
      <c r="L58" s="0" t="n">
        <v>26</v>
      </c>
      <c r="M58" s="0" t="n">
        <v>0.61</v>
      </c>
      <c r="N58" s="0" t="n">
        <v>11</v>
      </c>
    </row>
    <row r="59" customFormat="false" ht="15" hidden="false" customHeight="false" outlineLevel="0" collapsed="false">
      <c r="A59" s="0" t="s">
        <v>183</v>
      </c>
      <c r="B59" s="0" t="s">
        <v>209</v>
      </c>
      <c r="C59" s="0" t="n">
        <v>21.9</v>
      </c>
      <c r="D59" s="0" t="n">
        <v>4.98</v>
      </c>
      <c r="E59" s="0" t="n">
        <v>6.04</v>
      </c>
      <c r="F59" s="0" t="n">
        <v>2.95</v>
      </c>
      <c r="G59" s="0" t="n">
        <v>1.62</v>
      </c>
      <c r="H59" s="0" t="n">
        <v>18</v>
      </c>
      <c r="I59" s="0" t="n">
        <v>17</v>
      </c>
      <c r="J59" s="0" t="n">
        <v>25</v>
      </c>
      <c r="K59" s="0" t="n">
        <v>23</v>
      </c>
      <c r="L59" s="0" t="n">
        <v>21</v>
      </c>
      <c r="M59" s="0" t="n">
        <v>0.58</v>
      </c>
      <c r="N59" s="0" t="n">
        <v>15</v>
      </c>
    </row>
    <row r="60" customFormat="false" ht="15" hidden="false" customHeight="false" outlineLevel="0" collapsed="false">
      <c r="A60" s="0" t="s">
        <v>187</v>
      </c>
      <c r="B60" s="0" t="s">
        <v>209</v>
      </c>
      <c r="C60" s="0" t="n">
        <v>24.38</v>
      </c>
      <c r="D60" s="0" t="n">
        <v>5.73</v>
      </c>
      <c r="E60" s="0" t="n">
        <v>7</v>
      </c>
      <c r="F60" s="0" t="n">
        <v>3.82</v>
      </c>
      <c r="G60" s="0" t="n">
        <v>2.07</v>
      </c>
      <c r="H60" s="0" t="n">
        <v>1</v>
      </c>
      <c r="I60" s="0" t="n">
        <v>2</v>
      </c>
      <c r="J60" s="0" t="n">
        <v>3</v>
      </c>
      <c r="K60" s="0" t="n">
        <v>1</v>
      </c>
      <c r="L60" s="0" t="n">
        <v>4</v>
      </c>
      <c r="M60" s="0" t="n">
        <v>0.66</v>
      </c>
      <c r="N60" s="0" t="n">
        <v>7</v>
      </c>
    </row>
    <row r="61" customFormat="false" ht="15" hidden="false" customHeight="false" outlineLevel="0" collapsed="false">
      <c r="A61" s="0" t="s">
        <v>191</v>
      </c>
      <c r="B61" s="0" t="s">
        <v>209</v>
      </c>
      <c r="C61" s="0" t="n">
        <v>22.76</v>
      </c>
      <c r="D61" s="0" t="n">
        <v>5.81</v>
      </c>
      <c r="E61" s="0" t="n">
        <v>6.31</v>
      </c>
      <c r="F61" s="0" t="n">
        <v>3</v>
      </c>
      <c r="G61" s="0" t="n">
        <v>2.21</v>
      </c>
      <c r="H61" s="0" t="n">
        <v>10</v>
      </c>
      <c r="I61" s="0" t="n">
        <v>1</v>
      </c>
      <c r="J61" s="0" t="n">
        <v>19</v>
      </c>
      <c r="K61" s="0" t="n">
        <v>20</v>
      </c>
      <c r="L61" s="0" t="n">
        <v>2</v>
      </c>
      <c r="M61" s="0" t="n">
        <v>0.55</v>
      </c>
      <c r="N61" s="0" t="n">
        <v>18</v>
      </c>
    </row>
    <row r="62" customFormat="false" ht="15" hidden="false" customHeight="false" outlineLevel="0" collapsed="false">
      <c r="A62" s="0" t="s">
        <v>78</v>
      </c>
      <c r="B62" s="0" t="s">
        <v>210</v>
      </c>
      <c r="C62" s="0" t="n">
        <v>24.79</v>
      </c>
      <c r="D62" s="0" t="n">
        <v>4.24</v>
      </c>
      <c r="E62" s="0" t="n">
        <v>8.38</v>
      </c>
      <c r="F62" s="0" t="n">
        <v>2.78</v>
      </c>
      <c r="G62" s="0" t="n">
        <v>2.03</v>
      </c>
      <c r="H62" s="0" t="n">
        <v>3</v>
      </c>
      <c r="I62" s="0" t="n">
        <v>17</v>
      </c>
      <c r="J62" s="0" t="n">
        <v>7</v>
      </c>
      <c r="K62" s="0" t="n">
        <v>15</v>
      </c>
      <c r="L62" s="0" t="n">
        <v>2</v>
      </c>
      <c r="M62" s="0" t="n">
        <v>0.91</v>
      </c>
      <c r="N62" s="0" t="n">
        <v>3</v>
      </c>
    </row>
    <row r="63" customFormat="false" ht="15" hidden="false" customHeight="false" outlineLevel="0" collapsed="false">
      <c r="A63" s="0" t="s">
        <v>86</v>
      </c>
      <c r="B63" s="0" t="s">
        <v>210</v>
      </c>
      <c r="C63" s="0" t="n">
        <v>23.55</v>
      </c>
      <c r="D63" s="0" t="n">
        <v>4.9</v>
      </c>
      <c r="E63" s="0" t="n">
        <v>7.93</v>
      </c>
      <c r="F63" s="0" t="n">
        <v>2.95</v>
      </c>
      <c r="G63" s="0" t="n">
        <v>1.79</v>
      </c>
      <c r="H63" s="0" t="n">
        <v>12</v>
      </c>
      <c r="I63" s="0" t="n">
        <v>3</v>
      </c>
      <c r="J63" s="0" t="n">
        <v>16</v>
      </c>
      <c r="K63" s="0" t="n">
        <v>5</v>
      </c>
      <c r="L63" s="0" t="n">
        <v>10</v>
      </c>
      <c r="M63" s="0" t="n">
        <v>0.78</v>
      </c>
      <c r="N63" s="0" t="n">
        <v>12</v>
      </c>
    </row>
    <row r="64" customFormat="false" ht="15" hidden="false" customHeight="false" outlineLevel="0" collapsed="false">
      <c r="A64" s="0" t="s">
        <v>82</v>
      </c>
      <c r="B64" s="0" t="s">
        <v>210</v>
      </c>
      <c r="C64" s="0" t="n">
        <v>20.15</v>
      </c>
      <c r="D64" s="0" t="n">
        <v>3.26</v>
      </c>
      <c r="E64" s="0" t="n">
        <v>8.02</v>
      </c>
      <c r="F64" s="0" t="n">
        <v>2.59</v>
      </c>
      <c r="G64" s="0" t="n">
        <v>1.2</v>
      </c>
      <c r="H64" s="0" t="n">
        <v>30</v>
      </c>
      <c r="I64" s="0" t="n">
        <v>30</v>
      </c>
      <c r="J64" s="0" t="n">
        <v>14</v>
      </c>
      <c r="K64" s="0" t="n">
        <v>25</v>
      </c>
      <c r="L64" s="0" t="n">
        <v>30</v>
      </c>
      <c r="M64" s="0" t="n">
        <v>0.6</v>
      </c>
      <c r="N64" s="0" t="n">
        <v>28</v>
      </c>
    </row>
    <row r="65" customFormat="false" ht="15" hidden="false" customHeight="false" outlineLevel="0" collapsed="false">
      <c r="A65" s="0" t="s">
        <v>90</v>
      </c>
      <c r="B65" s="0" t="s">
        <v>210</v>
      </c>
      <c r="C65" s="0" t="n">
        <v>21.44</v>
      </c>
      <c r="D65" s="0" t="n">
        <v>4.02</v>
      </c>
      <c r="E65" s="0" t="n">
        <v>7.25</v>
      </c>
      <c r="F65" s="0" t="n">
        <v>2.57</v>
      </c>
      <c r="G65" s="0" t="n">
        <v>1.7</v>
      </c>
      <c r="H65" s="0" t="n">
        <v>26</v>
      </c>
      <c r="I65" s="0" t="n">
        <v>25</v>
      </c>
      <c r="J65" s="0" t="n">
        <v>29</v>
      </c>
      <c r="K65" s="0" t="n">
        <v>26</v>
      </c>
      <c r="L65" s="0" t="n">
        <v>16</v>
      </c>
      <c r="M65" s="0" t="n">
        <v>0.83</v>
      </c>
      <c r="N65" s="0" t="n">
        <v>7</v>
      </c>
    </row>
    <row r="66" customFormat="false" ht="15" hidden="false" customHeight="false" outlineLevel="0" collapsed="false">
      <c r="A66" s="0" t="s">
        <v>4</v>
      </c>
      <c r="B66" s="0" t="s">
        <v>210</v>
      </c>
      <c r="C66" s="0" t="n">
        <v>22.93</v>
      </c>
      <c r="D66" s="0" t="n">
        <v>4.44</v>
      </c>
      <c r="E66" s="0" t="n">
        <v>9.04</v>
      </c>
      <c r="F66" s="0" t="n">
        <v>2.84</v>
      </c>
      <c r="G66" s="0" t="n">
        <v>1.54</v>
      </c>
      <c r="H66" s="0" t="n">
        <v>20</v>
      </c>
      <c r="I66" s="0" t="n">
        <v>14</v>
      </c>
      <c r="J66" s="0" t="n">
        <v>1</v>
      </c>
      <c r="K66" s="0" t="n">
        <v>10</v>
      </c>
      <c r="L66" s="0" t="n">
        <v>22</v>
      </c>
      <c r="M66" s="0" t="n">
        <v>0.74</v>
      </c>
      <c r="N66" s="0" t="n">
        <v>13</v>
      </c>
    </row>
    <row r="67" customFormat="false" ht="15" hidden="false" customHeight="false" outlineLevel="0" collapsed="false">
      <c r="A67" s="0" t="s">
        <v>97</v>
      </c>
      <c r="B67" s="0" t="s">
        <v>210</v>
      </c>
      <c r="C67" s="0" t="n">
        <v>22.6</v>
      </c>
      <c r="D67" s="0" t="n">
        <v>4.29</v>
      </c>
      <c r="E67" s="0" t="n">
        <v>7.7</v>
      </c>
      <c r="F67" s="0" t="n">
        <v>2.87</v>
      </c>
      <c r="G67" s="0" t="n">
        <v>1.8</v>
      </c>
      <c r="H67" s="0" t="n">
        <v>23</v>
      </c>
      <c r="I67" s="0" t="n">
        <v>16</v>
      </c>
      <c r="J67" s="0" t="n">
        <v>21</v>
      </c>
      <c r="K67" s="0" t="n">
        <v>8</v>
      </c>
      <c r="L67" s="0" t="n">
        <v>8</v>
      </c>
      <c r="M67" s="0" t="n">
        <v>0.73</v>
      </c>
      <c r="N67" s="0" t="n">
        <v>16</v>
      </c>
    </row>
    <row r="68" customFormat="false" ht="15" hidden="false" customHeight="false" outlineLevel="0" collapsed="false">
      <c r="A68" s="0" t="s">
        <v>101</v>
      </c>
      <c r="B68" s="0" t="s">
        <v>210</v>
      </c>
      <c r="C68" s="0" t="n">
        <v>22.82</v>
      </c>
      <c r="D68" s="0" t="n">
        <v>5.05</v>
      </c>
      <c r="E68" s="0" t="n">
        <v>8.24</v>
      </c>
      <c r="F68" s="0" t="n">
        <v>2.5</v>
      </c>
      <c r="G68" s="0" t="n">
        <v>1.71</v>
      </c>
      <c r="H68" s="0" t="n">
        <v>21</v>
      </c>
      <c r="I68" s="0" t="n">
        <v>2</v>
      </c>
      <c r="J68" s="0" t="n">
        <v>8</v>
      </c>
      <c r="K68" s="0" t="n">
        <v>28</v>
      </c>
      <c r="L68" s="0" t="n">
        <v>15</v>
      </c>
      <c r="M68" s="0" t="n">
        <v>0.71</v>
      </c>
      <c r="N68" s="0" t="n">
        <v>20</v>
      </c>
    </row>
    <row r="69" customFormat="false" ht="15" hidden="false" customHeight="false" outlineLevel="0" collapsed="false">
      <c r="A69" s="0" t="s">
        <v>105</v>
      </c>
      <c r="B69" s="0" t="s">
        <v>210</v>
      </c>
      <c r="C69" s="0" t="n">
        <v>23.92</v>
      </c>
      <c r="D69" s="0" t="n">
        <v>4.6</v>
      </c>
      <c r="E69" s="0" t="n">
        <v>7.87</v>
      </c>
      <c r="F69" s="0" t="n">
        <v>2.67</v>
      </c>
      <c r="G69" s="0" t="n">
        <v>1.56</v>
      </c>
      <c r="H69" s="0" t="n">
        <v>9</v>
      </c>
      <c r="I69" s="0" t="n">
        <v>10</v>
      </c>
      <c r="J69" s="0" t="n">
        <v>18</v>
      </c>
      <c r="K69" s="0" t="n">
        <v>18</v>
      </c>
      <c r="L69" s="0" t="n">
        <v>20</v>
      </c>
      <c r="M69" s="0" t="n">
        <v>0.84</v>
      </c>
      <c r="N69" s="0" t="n">
        <v>6</v>
      </c>
    </row>
    <row r="70" customFormat="false" ht="15" hidden="false" customHeight="false" outlineLevel="0" collapsed="false">
      <c r="A70" s="0" t="s">
        <v>109</v>
      </c>
      <c r="B70" s="0" t="s">
        <v>210</v>
      </c>
      <c r="C70" s="0" t="n">
        <v>20.95</v>
      </c>
      <c r="D70" s="0" t="n">
        <v>3.35</v>
      </c>
      <c r="E70" s="0" t="n">
        <v>7.45</v>
      </c>
      <c r="F70" s="0" t="n">
        <v>2.69</v>
      </c>
      <c r="G70" s="0" t="n">
        <v>1.53</v>
      </c>
      <c r="H70" s="0" t="n">
        <v>28</v>
      </c>
      <c r="I70" s="0" t="n">
        <v>29</v>
      </c>
      <c r="J70" s="0" t="n">
        <v>26</v>
      </c>
      <c r="K70" s="0" t="n">
        <v>16</v>
      </c>
      <c r="L70" s="0" t="n">
        <v>23</v>
      </c>
      <c r="M70" s="0" t="n">
        <v>0.85</v>
      </c>
      <c r="N70" s="0" t="n">
        <v>5</v>
      </c>
    </row>
    <row r="71" customFormat="false" ht="15" hidden="false" customHeight="false" outlineLevel="0" collapsed="false">
      <c r="A71" s="0" t="s">
        <v>113</v>
      </c>
      <c r="B71" s="0" t="s">
        <v>210</v>
      </c>
      <c r="C71" s="0" t="n">
        <v>21.51</v>
      </c>
      <c r="D71" s="0" t="n">
        <v>4.7</v>
      </c>
      <c r="E71" s="0" t="n">
        <v>7.57</v>
      </c>
      <c r="F71" s="0" t="n">
        <v>2.62</v>
      </c>
      <c r="G71" s="0" t="n">
        <v>1.84</v>
      </c>
      <c r="H71" s="0" t="n">
        <v>25</v>
      </c>
      <c r="I71" s="0" t="n">
        <v>8</v>
      </c>
      <c r="J71" s="0" t="n">
        <v>23</v>
      </c>
      <c r="K71" s="0" t="n">
        <v>21</v>
      </c>
      <c r="L71" s="0" t="n">
        <v>7</v>
      </c>
      <c r="M71" s="0" t="n">
        <v>0.66</v>
      </c>
      <c r="N71" s="0" t="n">
        <v>23</v>
      </c>
    </row>
    <row r="72" customFormat="false" ht="15" hidden="false" customHeight="false" outlineLevel="0" collapsed="false">
      <c r="A72" s="0" t="s">
        <v>117</v>
      </c>
      <c r="B72" s="0" t="s">
        <v>210</v>
      </c>
      <c r="C72" s="0" t="n">
        <v>22.96</v>
      </c>
      <c r="D72" s="0" t="n">
        <v>4.22</v>
      </c>
      <c r="E72" s="0" t="n">
        <v>7.37</v>
      </c>
      <c r="F72" s="0" t="n">
        <v>2.5</v>
      </c>
      <c r="G72" s="0" t="n">
        <v>1.98</v>
      </c>
      <c r="H72" s="0" t="n">
        <v>18</v>
      </c>
      <c r="I72" s="0" t="n">
        <v>18</v>
      </c>
      <c r="J72" s="0" t="n">
        <v>28</v>
      </c>
      <c r="K72" s="0" t="n">
        <v>28</v>
      </c>
      <c r="L72" s="0" t="n">
        <v>3</v>
      </c>
      <c r="M72" s="0" t="n">
        <v>0.74</v>
      </c>
      <c r="N72" s="0" t="n">
        <v>13</v>
      </c>
    </row>
    <row r="73" customFormat="false" ht="15" hidden="false" customHeight="false" outlineLevel="0" collapsed="false">
      <c r="A73" s="0" t="s">
        <v>121</v>
      </c>
      <c r="B73" s="0" t="s">
        <v>210</v>
      </c>
      <c r="C73" s="0" t="n">
        <v>23.24</v>
      </c>
      <c r="D73" s="0" t="n">
        <v>3.98</v>
      </c>
      <c r="E73" s="0" t="n">
        <v>8.14</v>
      </c>
      <c r="F73" s="0" t="n">
        <v>2.44</v>
      </c>
      <c r="G73" s="0" t="n">
        <v>1.73</v>
      </c>
      <c r="H73" s="0" t="n">
        <v>15</v>
      </c>
      <c r="I73" s="0" t="n">
        <v>26</v>
      </c>
      <c r="J73" s="0" t="n">
        <v>12</v>
      </c>
      <c r="K73" s="0" t="n">
        <v>30</v>
      </c>
      <c r="L73" s="0" t="n">
        <v>14</v>
      </c>
      <c r="M73" s="0" t="n">
        <v>0.7</v>
      </c>
      <c r="N73" s="0" t="n">
        <v>21</v>
      </c>
    </row>
    <row r="74" customFormat="false" ht="15" hidden="false" customHeight="false" outlineLevel="0" collapsed="false">
      <c r="A74" s="0" t="s">
        <v>125</v>
      </c>
      <c r="B74" s="0" t="s">
        <v>210</v>
      </c>
      <c r="C74" s="0" t="n">
        <v>22.68</v>
      </c>
      <c r="D74" s="0" t="n">
        <v>4.46</v>
      </c>
      <c r="E74" s="0" t="n">
        <v>7.48</v>
      </c>
      <c r="F74" s="0" t="n">
        <v>2.62</v>
      </c>
      <c r="G74" s="0" t="n">
        <v>1.56</v>
      </c>
      <c r="H74" s="0" t="n">
        <v>22</v>
      </c>
      <c r="I74" s="0" t="n">
        <v>13</v>
      </c>
      <c r="J74" s="0" t="n">
        <v>24</v>
      </c>
      <c r="K74" s="0" t="n">
        <v>21</v>
      </c>
      <c r="L74" s="0" t="n">
        <v>20</v>
      </c>
      <c r="M74" s="0" t="n">
        <v>0.66</v>
      </c>
      <c r="N74" s="0" t="n">
        <v>23</v>
      </c>
    </row>
    <row r="75" customFormat="false" ht="15" hidden="false" customHeight="false" outlineLevel="0" collapsed="false">
      <c r="A75" s="0" t="s">
        <v>129</v>
      </c>
      <c r="B75" s="0" t="s">
        <v>210</v>
      </c>
      <c r="C75" s="0" t="n">
        <v>24.86</v>
      </c>
      <c r="D75" s="0" t="n">
        <v>4.47</v>
      </c>
      <c r="E75" s="0" t="n">
        <v>7.38</v>
      </c>
      <c r="F75" s="0" t="n">
        <v>2.84</v>
      </c>
      <c r="G75" s="0" t="n">
        <v>1.85</v>
      </c>
      <c r="H75" s="0" t="n">
        <v>2</v>
      </c>
      <c r="I75" s="0" t="n">
        <v>12</v>
      </c>
      <c r="J75" s="0" t="n">
        <v>27</v>
      </c>
      <c r="K75" s="0" t="n">
        <v>10</v>
      </c>
      <c r="L75" s="0" t="n">
        <v>6</v>
      </c>
      <c r="M75" s="0" t="n">
        <v>0.5</v>
      </c>
      <c r="N75" s="0" t="n">
        <v>29</v>
      </c>
    </row>
    <row r="76" customFormat="false" ht="15" hidden="false" customHeight="false" outlineLevel="0" collapsed="false">
      <c r="A76" s="0" t="s">
        <v>133</v>
      </c>
      <c r="B76" s="0" t="s">
        <v>210</v>
      </c>
      <c r="C76" s="0" t="n">
        <v>24.59</v>
      </c>
      <c r="D76" s="0" t="n">
        <v>4.77</v>
      </c>
      <c r="E76" s="0" t="n">
        <v>8.83</v>
      </c>
      <c r="F76" s="0" t="n">
        <v>2.81</v>
      </c>
      <c r="G76" s="0" t="n">
        <v>1.64</v>
      </c>
      <c r="H76" s="0" t="n">
        <v>5</v>
      </c>
      <c r="I76" s="0" t="n">
        <v>7</v>
      </c>
      <c r="J76" s="0" t="n">
        <v>3</v>
      </c>
      <c r="K76" s="0" t="n">
        <v>13</v>
      </c>
      <c r="L76" s="0" t="n">
        <v>17</v>
      </c>
      <c r="M76" s="0" t="n">
        <v>0.9</v>
      </c>
      <c r="N76" s="0" t="n">
        <v>4</v>
      </c>
    </row>
    <row r="77" customFormat="false" ht="15" hidden="false" customHeight="false" outlineLevel="0" collapsed="false">
      <c r="A77" s="0" t="s">
        <v>137</v>
      </c>
      <c r="B77" s="0" t="s">
        <v>210</v>
      </c>
      <c r="C77" s="0" t="n">
        <v>24.14</v>
      </c>
      <c r="D77" s="0" t="n">
        <v>4.17</v>
      </c>
      <c r="E77" s="0" t="n">
        <v>8.15</v>
      </c>
      <c r="F77" s="0" t="n">
        <v>3.21</v>
      </c>
      <c r="G77" s="0" t="n">
        <v>1.75</v>
      </c>
      <c r="H77" s="0" t="n">
        <v>8</v>
      </c>
      <c r="I77" s="0" t="n">
        <v>20</v>
      </c>
      <c r="J77" s="0" t="n">
        <v>11</v>
      </c>
      <c r="K77" s="0" t="n">
        <v>2</v>
      </c>
      <c r="L77" s="0" t="n">
        <v>12</v>
      </c>
      <c r="M77" s="0" t="n">
        <v>0.81</v>
      </c>
      <c r="N77" s="0" t="n">
        <v>11</v>
      </c>
    </row>
    <row r="78" customFormat="false" ht="15" hidden="false" customHeight="false" outlineLevel="0" collapsed="false">
      <c r="A78" s="0" t="s">
        <v>141</v>
      </c>
      <c r="B78" s="0" t="s">
        <v>210</v>
      </c>
      <c r="C78" s="0" t="n">
        <v>23.6</v>
      </c>
      <c r="D78" s="0" t="n">
        <v>4.84</v>
      </c>
      <c r="E78" s="0" t="n">
        <v>8.45</v>
      </c>
      <c r="F78" s="0" t="n">
        <v>2.85</v>
      </c>
      <c r="G78" s="0" t="n">
        <v>1.91</v>
      </c>
      <c r="H78" s="0" t="n">
        <v>11</v>
      </c>
      <c r="I78" s="0" t="n">
        <v>5</v>
      </c>
      <c r="J78" s="0" t="n">
        <v>6</v>
      </c>
      <c r="K78" s="0" t="n">
        <v>9</v>
      </c>
      <c r="L78" s="0" t="n">
        <v>4</v>
      </c>
      <c r="M78" s="0" t="n">
        <v>0.69</v>
      </c>
      <c r="N78" s="0" t="n">
        <v>22</v>
      </c>
    </row>
    <row r="79" customFormat="false" ht="15" hidden="false" customHeight="false" outlineLevel="0" collapsed="false">
      <c r="A79" s="0" t="s">
        <v>145</v>
      </c>
      <c r="B79" s="0" t="s">
        <v>210</v>
      </c>
      <c r="C79" s="0" t="n">
        <v>22.99</v>
      </c>
      <c r="D79" s="0" t="n">
        <v>4.17</v>
      </c>
      <c r="E79" s="0" t="n">
        <v>7.46</v>
      </c>
      <c r="F79" s="0" t="n">
        <v>2.52</v>
      </c>
      <c r="G79" s="0" t="n">
        <v>1.8</v>
      </c>
      <c r="H79" s="0" t="n">
        <v>17</v>
      </c>
      <c r="I79" s="0" t="n">
        <v>20</v>
      </c>
      <c r="J79" s="0" t="n">
        <v>25</v>
      </c>
      <c r="K79" s="0" t="n">
        <v>27</v>
      </c>
      <c r="L79" s="0" t="n">
        <v>8</v>
      </c>
      <c r="M79" s="0" t="n">
        <v>0.73</v>
      </c>
      <c r="N79" s="0" t="n">
        <v>16</v>
      </c>
    </row>
    <row r="80" customFormat="false" ht="15" hidden="false" customHeight="false" outlineLevel="0" collapsed="false">
      <c r="A80" s="0" t="s">
        <v>149</v>
      </c>
      <c r="B80" s="0" t="s">
        <v>210</v>
      </c>
      <c r="C80" s="0" t="n">
        <v>24.69</v>
      </c>
      <c r="D80" s="0" t="n">
        <v>4.48</v>
      </c>
      <c r="E80" s="0" t="n">
        <v>8.24</v>
      </c>
      <c r="F80" s="0" t="n">
        <v>2.94</v>
      </c>
      <c r="G80" s="0" t="n">
        <v>1.61</v>
      </c>
      <c r="H80" s="0" t="n">
        <v>4</v>
      </c>
      <c r="I80" s="0" t="n">
        <v>11</v>
      </c>
      <c r="J80" s="0" t="n">
        <v>8</v>
      </c>
      <c r="K80" s="0" t="n">
        <v>6</v>
      </c>
      <c r="L80" s="0" t="n">
        <v>18</v>
      </c>
      <c r="M80" s="0" t="n">
        <v>0.82</v>
      </c>
      <c r="N80" s="0" t="n">
        <v>9</v>
      </c>
    </row>
    <row r="81" customFormat="false" ht="15" hidden="false" customHeight="false" outlineLevel="0" collapsed="false">
      <c r="A81" s="0" t="s">
        <v>153</v>
      </c>
      <c r="B81" s="0" t="s">
        <v>210</v>
      </c>
      <c r="C81" s="0" t="n">
        <v>21.93</v>
      </c>
      <c r="D81" s="0" t="n">
        <v>3.93</v>
      </c>
      <c r="E81" s="0" t="n">
        <v>8.18</v>
      </c>
      <c r="F81" s="0" t="n">
        <v>2.81</v>
      </c>
      <c r="G81" s="0" t="n">
        <v>1.39</v>
      </c>
      <c r="H81" s="0" t="n">
        <v>24</v>
      </c>
      <c r="I81" s="0" t="n">
        <v>27</v>
      </c>
      <c r="J81" s="0" t="n">
        <v>10</v>
      </c>
      <c r="K81" s="0" t="n">
        <v>13</v>
      </c>
      <c r="L81" s="0" t="n">
        <v>27</v>
      </c>
      <c r="M81" s="0" t="n">
        <v>0.72</v>
      </c>
      <c r="N81" s="0" t="n">
        <v>19</v>
      </c>
    </row>
    <row r="82" customFormat="false" ht="15" hidden="false" customHeight="false" outlineLevel="0" collapsed="false">
      <c r="A82" s="0" t="s">
        <v>157</v>
      </c>
      <c r="B82" s="0" t="s">
        <v>210</v>
      </c>
      <c r="C82" s="0" t="n">
        <v>20.91</v>
      </c>
      <c r="D82" s="0" t="n">
        <v>3.81</v>
      </c>
      <c r="E82" s="0" t="n">
        <v>7.83</v>
      </c>
      <c r="F82" s="0" t="n">
        <v>2.91</v>
      </c>
      <c r="G82" s="0" t="n">
        <v>1.39</v>
      </c>
      <c r="H82" s="0" t="n">
        <v>29</v>
      </c>
      <c r="I82" s="0" t="n">
        <v>28</v>
      </c>
      <c r="J82" s="0" t="n">
        <v>19</v>
      </c>
      <c r="K82" s="0" t="n">
        <v>7</v>
      </c>
      <c r="L82" s="0" t="n">
        <v>27</v>
      </c>
      <c r="M82" s="0" t="n">
        <v>0.62</v>
      </c>
      <c r="N82" s="0" t="n">
        <v>27</v>
      </c>
    </row>
    <row r="83" customFormat="false" ht="15" hidden="false" customHeight="false" outlineLevel="0" collapsed="false">
      <c r="A83" s="0" t="s">
        <v>160</v>
      </c>
      <c r="B83" s="0" t="s">
        <v>210</v>
      </c>
      <c r="C83" s="0" t="n">
        <v>24.26</v>
      </c>
      <c r="D83" s="0" t="n">
        <v>4.05</v>
      </c>
      <c r="E83" s="0" t="n">
        <v>8.76</v>
      </c>
      <c r="F83" s="0" t="n">
        <v>2.63</v>
      </c>
      <c r="G83" s="0" t="n">
        <v>1.77</v>
      </c>
      <c r="H83" s="0" t="n">
        <v>7</v>
      </c>
      <c r="I83" s="0" t="n">
        <v>23</v>
      </c>
      <c r="J83" s="0" t="n">
        <v>4</v>
      </c>
      <c r="K83" s="0" t="n">
        <v>19</v>
      </c>
      <c r="L83" s="0" t="n">
        <v>11</v>
      </c>
      <c r="M83" s="0" t="n">
        <v>1.08</v>
      </c>
      <c r="N83" s="0" t="n">
        <v>1</v>
      </c>
    </row>
    <row r="84" customFormat="false" ht="15" hidden="false" customHeight="false" outlineLevel="0" collapsed="false">
      <c r="A84" s="0" t="s">
        <v>164</v>
      </c>
      <c r="B84" s="0" t="s">
        <v>210</v>
      </c>
      <c r="C84" s="0" t="n">
        <v>23.41</v>
      </c>
      <c r="D84" s="0" t="n">
        <v>4.83</v>
      </c>
      <c r="E84" s="0" t="n">
        <v>7.9</v>
      </c>
      <c r="F84" s="0" t="n">
        <v>2.83</v>
      </c>
      <c r="G84" s="0" t="n">
        <v>1.42</v>
      </c>
      <c r="H84" s="0" t="n">
        <v>13</v>
      </c>
      <c r="I84" s="0" t="n">
        <v>6</v>
      </c>
      <c r="J84" s="0" t="n">
        <v>17</v>
      </c>
      <c r="K84" s="0" t="n">
        <v>12</v>
      </c>
      <c r="L84" s="0" t="n">
        <v>26</v>
      </c>
      <c r="M84" s="0" t="n">
        <v>0.73</v>
      </c>
      <c r="N84" s="0" t="n">
        <v>16</v>
      </c>
    </row>
    <row r="85" customFormat="false" ht="15" hidden="false" customHeight="false" outlineLevel="0" collapsed="false">
      <c r="A85" s="0" t="s">
        <v>168</v>
      </c>
      <c r="B85" s="0" t="s">
        <v>210</v>
      </c>
      <c r="C85" s="0" t="n">
        <v>23.37</v>
      </c>
      <c r="D85" s="0" t="n">
        <v>4.7</v>
      </c>
      <c r="E85" s="0" t="n">
        <v>7.8</v>
      </c>
      <c r="F85" s="0" t="n">
        <v>2.62</v>
      </c>
      <c r="G85" s="0" t="n">
        <v>1.45</v>
      </c>
      <c r="H85" s="0" t="n">
        <v>14</v>
      </c>
      <c r="I85" s="0" t="n">
        <v>8</v>
      </c>
      <c r="J85" s="0" t="n">
        <v>20</v>
      </c>
      <c r="K85" s="0" t="n">
        <v>21</v>
      </c>
      <c r="L85" s="0" t="n">
        <v>24</v>
      </c>
      <c r="M85" s="0" t="n">
        <v>0.66</v>
      </c>
      <c r="N85" s="0" t="n">
        <v>23</v>
      </c>
    </row>
    <row r="86" customFormat="false" ht="15" hidden="false" customHeight="false" outlineLevel="0" collapsed="false">
      <c r="A86" s="0" t="s">
        <v>172</v>
      </c>
      <c r="B86" s="0" t="s">
        <v>210</v>
      </c>
      <c r="C86" s="0" t="n">
        <v>22.95</v>
      </c>
      <c r="D86" s="0" t="n">
        <v>4.17</v>
      </c>
      <c r="E86" s="0" t="n">
        <v>8.64</v>
      </c>
      <c r="F86" s="0" t="n">
        <v>2.69</v>
      </c>
      <c r="G86" s="0" t="n">
        <v>2.18</v>
      </c>
      <c r="H86" s="0" t="n">
        <v>19</v>
      </c>
      <c r="I86" s="0" t="n">
        <v>20</v>
      </c>
      <c r="J86" s="0" t="n">
        <v>5</v>
      </c>
      <c r="K86" s="0" t="n">
        <v>16</v>
      </c>
      <c r="L86" s="0" t="n">
        <v>1</v>
      </c>
      <c r="M86" s="0" t="n">
        <v>0.97</v>
      </c>
      <c r="N86" s="0" t="n">
        <v>2</v>
      </c>
    </row>
    <row r="87" customFormat="false" ht="15" hidden="false" customHeight="false" outlineLevel="0" collapsed="false">
      <c r="A87" s="0" t="s">
        <v>176</v>
      </c>
      <c r="B87" s="0" t="s">
        <v>210</v>
      </c>
      <c r="C87" s="0" t="n">
        <v>23.76</v>
      </c>
      <c r="D87" s="0" t="n">
        <v>4.35</v>
      </c>
      <c r="E87" s="0" t="n">
        <v>6.86</v>
      </c>
      <c r="F87" s="0" t="n">
        <v>3.01</v>
      </c>
      <c r="G87" s="0" t="n">
        <v>1.34</v>
      </c>
      <c r="H87" s="0" t="n">
        <v>10</v>
      </c>
      <c r="I87" s="0" t="n">
        <v>15</v>
      </c>
      <c r="J87" s="0" t="n">
        <v>30</v>
      </c>
      <c r="K87" s="0" t="n">
        <v>4</v>
      </c>
      <c r="L87" s="0" t="n">
        <v>29</v>
      </c>
      <c r="M87" s="0" t="n">
        <v>0.45</v>
      </c>
      <c r="N87" s="0" t="n">
        <v>30</v>
      </c>
    </row>
    <row r="88" customFormat="false" ht="15" hidden="false" customHeight="false" outlineLevel="0" collapsed="false">
      <c r="A88" s="0" t="s">
        <v>179</v>
      </c>
      <c r="B88" s="0" t="s">
        <v>210</v>
      </c>
      <c r="C88" s="0" t="n">
        <v>23</v>
      </c>
      <c r="D88" s="0" t="n">
        <v>4.22</v>
      </c>
      <c r="E88" s="0" t="n">
        <v>7.96</v>
      </c>
      <c r="F88" s="0" t="n">
        <v>2.63</v>
      </c>
      <c r="G88" s="0" t="n">
        <v>1.6</v>
      </c>
      <c r="H88" s="0" t="n">
        <v>16</v>
      </c>
      <c r="I88" s="0" t="n">
        <v>18</v>
      </c>
      <c r="J88" s="0" t="n">
        <v>15</v>
      </c>
      <c r="K88" s="0" t="n">
        <v>19</v>
      </c>
      <c r="L88" s="0" t="n">
        <v>19</v>
      </c>
      <c r="M88" s="0" t="n">
        <v>0.66</v>
      </c>
      <c r="N88" s="0" t="n">
        <v>23</v>
      </c>
    </row>
    <row r="89" customFormat="false" ht="15" hidden="false" customHeight="false" outlineLevel="0" collapsed="false">
      <c r="A89" s="0" t="s">
        <v>183</v>
      </c>
      <c r="B89" s="0" t="s">
        <v>210</v>
      </c>
      <c r="C89" s="0" t="n">
        <v>21.2</v>
      </c>
      <c r="D89" s="0" t="n">
        <v>4.04</v>
      </c>
      <c r="E89" s="0" t="n">
        <v>7.6</v>
      </c>
      <c r="F89" s="0" t="n">
        <v>2.6</v>
      </c>
      <c r="G89" s="0" t="n">
        <v>1.43</v>
      </c>
      <c r="H89" s="0" t="n">
        <v>27</v>
      </c>
      <c r="I89" s="0" t="n">
        <v>24</v>
      </c>
      <c r="J89" s="0" t="n">
        <v>22</v>
      </c>
      <c r="K89" s="0" t="n">
        <v>24</v>
      </c>
      <c r="L89" s="0" t="n">
        <v>25</v>
      </c>
      <c r="M89" s="0" t="n">
        <v>0.74</v>
      </c>
      <c r="N89" s="0" t="n">
        <v>13</v>
      </c>
    </row>
    <row r="90" customFormat="false" ht="15" hidden="false" customHeight="false" outlineLevel="0" collapsed="false">
      <c r="A90" s="0" t="s">
        <v>187</v>
      </c>
      <c r="B90" s="0" t="s">
        <v>210</v>
      </c>
      <c r="C90" s="0" t="n">
        <v>26.46</v>
      </c>
      <c r="D90" s="0" t="n">
        <v>5.79</v>
      </c>
      <c r="E90" s="0" t="n">
        <v>8.11</v>
      </c>
      <c r="F90" s="0" t="n">
        <v>3.23</v>
      </c>
      <c r="G90" s="0" t="n">
        <v>1.74</v>
      </c>
      <c r="H90" s="0" t="n">
        <v>1</v>
      </c>
      <c r="I90" s="0" t="n">
        <v>1</v>
      </c>
      <c r="J90" s="0" t="n">
        <v>13</v>
      </c>
      <c r="K90" s="0" t="n">
        <v>1</v>
      </c>
      <c r="L90" s="0" t="n">
        <v>13</v>
      </c>
      <c r="M90" s="0" t="n">
        <v>0.83</v>
      </c>
      <c r="N90" s="0" t="n">
        <v>7</v>
      </c>
    </row>
    <row r="91" customFormat="false" ht="15" hidden="false" customHeight="false" outlineLevel="0" collapsed="false">
      <c r="A91" s="0" t="s">
        <v>191</v>
      </c>
      <c r="B91" s="0" t="s">
        <v>210</v>
      </c>
      <c r="C91" s="0" t="n">
        <v>24.44</v>
      </c>
      <c r="D91" s="0" t="n">
        <v>4.89</v>
      </c>
      <c r="E91" s="0" t="n">
        <v>9.03</v>
      </c>
      <c r="F91" s="0" t="n">
        <v>3.03</v>
      </c>
      <c r="G91" s="0" t="n">
        <v>1.9</v>
      </c>
      <c r="H91" s="0" t="n">
        <v>6</v>
      </c>
      <c r="I91" s="0" t="n">
        <v>4</v>
      </c>
      <c r="J91" s="0" t="n">
        <v>2</v>
      </c>
      <c r="K91" s="0" t="n">
        <v>3</v>
      </c>
      <c r="L91" s="0" t="n">
        <v>5</v>
      </c>
      <c r="M91" s="0" t="n">
        <v>0.82</v>
      </c>
      <c r="N91" s="0" t="n">
        <v>9</v>
      </c>
    </row>
    <row r="92" customFormat="false" ht="15" hidden="false" customHeight="false" outlineLevel="0" collapsed="false">
      <c r="A92" s="0" t="s">
        <v>78</v>
      </c>
      <c r="B92" s="0" t="s">
        <v>211</v>
      </c>
      <c r="C92" s="0" t="n">
        <v>21.45</v>
      </c>
      <c r="D92" s="0" t="n">
        <v>4.63</v>
      </c>
      <c r="E92" s="0" t="n">
        <v>10.69</v>
      </c>
      <c r="F92" s="0" t="n">
        <v>2.18</v>
      </c>
      <c r="G92" s="0" t="n">
        <v>1.38</v>
      </c>
      <c r="H92" s="0" t="n">
        <v>23</v>
      </c>
      <c r="I92" s="0" t="n">
        <v>9</v>
      </c>
      <c r="J92" s="0" t="n">
        <v>3</v>
      </c>
      <c r="K92" s="0" t="n">
        <v>27</v>
      </c>
      <c r="L92" s="0" t="n">
        <v>26</v>
      </c>
      <c r="M92" s="0" t="n">
        <v>1.21</v>
      </c>
      <c r="N92" s="0" t="n">
        <v>6</v>
      </c>
    </row>
    <row r="93" customFormat="false" ht="15" hidden="false" customHeight="false" outlineLevel="0" collapsed="false">
      <c r="A93" s="0" t="s">
        <v>86</v>
      </c>
      <c r="B93" s="0" t="s">
        <v>211</v>
      </c>
      <c r="C93" s="0" t="n">
        <v>23.19</v>
      </c>
      <c r="D93" s="0" t="n">
        <v>4.7</v>
      </c>
      <c r="E93" s="0" t="n">
        <v>10</v>
      </c>
      <c r="F93" s="0" t="n">
        <v>1.98</v>
      </c>
      <c r="G93" s="0" t="n">
        <v>1.54</v>
      </c>
      <c r="H93" s="0" t="n">
        <v>11</v>
      </c>
      <c r="I93" s="0" t="n">
        <v>6</v>
      </c>
      <c r="J93" s="0" t="n">
        <v>9</v>
      </c>
      <c r="K93" s="0" t="n">
        <v>30</v>
      </c>
      <c r="L93" s="0" t="n">
        <v>16</v>
      </c>
      <c r="M93" s="0" t="n">
        <v>1.1</v>
      </c>
      <c r="N93" s="0" t="n">
        <v>13</v>
      </c>
    </row>
    <row r="94" customFormat="false" ht="15" hidden="false" customHeight="false" outlineLevel="0" collapsed="false">
      <c r="A94" s="0" t="s">
        <v>82</v>
      </c>
      <c r="B94" s="0" t="s">
        <v>211</v>
      </c>
      <c r="C94" s="0" t="n">
        <v>22.02</v>
      </c>
      <c r="D94" s="0" t="n">
        <v>3.92</v>
      </c>
      <c r="E94" s="0" t="n">
        <v>9.04</v>
      </c>
      <c r="F94" s="0" t="n">
        <v>2.89</v>
      </c>
      <c r="G94" s="0" t="n">
        <v>0.9</v>
      </c>
      <c r="H94" s="0" t="n">
        <v>16</v>
      </c>
      <c r="I94" s="0" t="n">
        <v>24</v>
      </c>
      <c r="J94" s="0" t="n">
        <v>26</v>
      </c>
      <c r="K94" s="0" t="n">
        <v>3</v>
      </c>
      <c r="L94" s="0" t="n">
        <v>30</v>
      </c>
      <c r="M94" s="0" t="n">
        <v>0.95</v>
      </c>
      <c r="N94" s="0" t="n">
        <v>25</v>
      </c>
    </row>
    <row r="95" customFormat="false" ht="15" hidden="false" customHeight="false" outlineLevel="0" collapsed="false">
      <c r="A95" s="0" t="s">
        <v>90</v>
      </c>
      <c r="B95" s="0" t="s">
        <v>211</v>
      </c>
      <c r="C95" s="0" t="n">
        <v>23.84</v>
      </c>
      <c r="D95" s="0" t="n">
        <v>4.62</v>
      </c>
      <c r="E95" s="0" t="n">
        <v>8.66</v>
      </c>
      <c r="F95" s="0" t="n">
        <v>2.62</v>
      </c>
      <c r="G95" s="0" t="n">
        <v>1.48</v>
      </c>
      <c r="H95" s="0" t="n">
        <v>7</v>
      </c>
      <c r="I95" s="0" t="n">
        <v>10</v>
      </c>
      <c r="J95" s="0" t="n">
        <v>28</v>
      </c>
      <c r="K95" s="0" t="n">
        <v>6</v>
      </c>
      <c r="L95" s="0" t="n">
        <v>20</v>
      </c>
      <c r="M95" s="0" t="n">
        <v>0.87</v>
      </c>
      <c r="N95" s="0" t="n">
        <v>28</v>
      </c>
    </row>
    <row r="96" customFormat="false" ht="15" hidden="false" customHeight="false" outlineLevel="0" collapsed="false">
      <c r="A96" s="0" t="s">
        <v>4</v>
      </c>
      <c r="B96" s="0" t="s">
        <v>211</v>
      </c>
      <c r="C96" s="0" t="n">
        <v>25.33</v>
      </c>
      <c r="D96" s="0" t="n">
        <v>4.67</v>
      </c>
      <c r="E96" s="0" t="n">
        <v>10.01</v>
      </c>
      <c r="F96" s="0" t="n">
        <v>2.51</v>
      </c>
      <c r="G96" s="0" t="n">
        <v>1.55</v>
      </c>
      <c r="H96" s="0" t="n">
        <v>2</v>
      </c>
      <c r="I96" s="0" t="n">
        <v>7</v>
      </c>
      <c r="J96" s="0" t="n">
        <v>8</v>
      </c>
      <c r="K96" s="0" t="n">
        <v>15</v>
      </c>
      <c r="L96" s="0" t="n">
        <v>13</v>
      </c>
      <c r="M96" s="0" t="n">
        <v>1.08</v>
      </c>
      <c r="N96" s="0" t="n">
        <v>14</v>
      </c>
    </row>
    <row r="97" customFormat="false" ht="15" hidden="false" customHeight="false" outlineLevel="0" collapsed="false">
      <c r="A97" s="0" t="s">
        <v>97</v>
      </c>
      <c r="B97" s="0" t="s">
        <v>211</v>
      </c>
      <c r="C97" s="0" t="n">
        <v>24.36</v>
      </c>
      <c r="D97" s="0" t="n">
        <v>5</v>
      </c>
      <c r="E97" s="0" t="n">
        <v>10.09</v>
      </c>
      <c r="F97" s="0" t="n">
        <v>2.43</v>
      </c>
      <c r="G97" s="0" t="n">
        <v>1.55</v>
      </c>
      <c r="H97" s="0" t="n">
        <v>4</v>
      </c>
      <c r="I97" s="0" t="n">
        <v>2</v>
      </c>
      <c r="J97" s="0" t="n">
        <v>7</v>
      </c>
      <c r="K97" s="0" t="n">
        <v>19</v>
      </c>
      <c r="L97" s="0" t="n">
        <v>13</v>
      </c>
      <c r="M97" s="0" t="n">
        <v>1.07</v>
      </c>
      <c r="N97" s="0" t="n">
        <v>15</v>
      </c>
    </row>
    <row r="98" customFormat="false" ht="15" hidden="false" customHeight="false" outlineLevel="0" collapsed="false">
      <c r="A98" s="0" t="s">
        <v>101</v>
      </c>
      <c r="B98" s="0" t="s">
        <v>211</v>
      </c>
      <c r="C98" s="0" t="n">
        <v>23.2</v>
      </c>
      <c r="D98" s="0" t="n">
        <v>3.89</v>
      </c>
      <c r="E98" s="0" t="n">
        <v>9.88</v>
      </c>
      <c r="F98" s="0" t="n">
        <v>2.57</v>
      </c>
      <c r="G98" s="0" t="n">
        <v>1.38</v>
      </c>
      <c r="H98" s="0" t="n">
        <v>10</v>
      </c>
      <c r="I98" s="0" t="n">
        <v>25</v>
      </c>
      <c r="J98" s="0" t="n">
        <v>13</v>
      </c>
      <c r="K98" s="0" t="n">
        <v>9</v>
      </c>
      <c r="L98" s="0" t="n">
        <v>26</v>
      </c>
      <c r="M98" s="0" t="n">
        <v>1.29</v>
      </c>
      <c r="N98" s="0" t="n">
        <v>4</v>
      </c>
    </row>
    <row r="99" customFormat="false" ht="15" hidden="false" customHeight="false" outlineLevel="0" collapsed="false">
      <c r="A99" s="0" t="s">
        <v>105</v>
      </c>
      <c r="B99" s="0" t="s">
        <v>211</v>
      </c>
      <c r="C99" s="0" t="n">
        <v>22.76</v>
      </c>
      <c r="D99" s="0" t="n">
        <v>4.88</v>
      </c>
      <c r="E99" s="0" t="n">
        <v>9.45</v>
      </c>
      <c r="F99" s="0" t="n">
        <v>2.52</v>
      </c>
      <c r="G99" s="0" t="n">
        <v>1.47</v>
      </c>
      <c r="H99" s="0" t="n">
        <v>12</v>
      </c>
      <c r="I99" s="0" t="n">
        <v>4</v>
      </c>
      <c r="J99" s="0" t="n">
        <v>21</v>
      </c>
      <c r="K99" s="0" t="n">
        <v>13</v>
      </c>
      <c r="L99" s="0" t="n">
        <v>23</v>
      </c>
      <c r="M99" s="0" t="n">
        <v>1.07</v>
      </c>
      <c r="N99" s="0" t="n">
        <v>15</v>
      </c>
    </row>
    <row r="100" customFormat="false" ht="15" hidden="false" customHeight="false" outlineLevel="0" collapsed="false">
      <c r="A100" s="0" t="s">
        <v>109</v>
      </c>
      <c r="B100" s="0" t="s">
        <v>211</v>
      </c>
      <c r="C100" s="0" t="n">
        <v>22.03</v>
      </c>
      <c r="D100" s="0" t="n">
        <v>4.42</v>
      </c>
      <c r="E100" s="0" t="n">
        <v>9.61</v>
      </c>
      <c r="F100" s="0" t="n">
        <v>2.47</v>
      </c>
      <c r="G100" s="0" t="n">
        <v>1.73</v>
      </c>
      <c r="H100" s="0" t="n">
        <v>15</v>
      </c>
      <c r="I100" s="0" t="n">
        <v>13</v>
      </c>
      <c r="J100" s="0" t="n">
        <v>19</v>
      </c>
      <c r="K100" s="0" t="n">
        <v>16</v>
      </c>
      <c r="L100" s="0" t="n">
        <v>4</v>
      </c>
      <c r="M100" s="0" t="n">
        <v>1.58</v>
      </c>
      <c r="N100" s="0" t="n">
        <v>1</v>
      </c>
    </row>
    <row r="101" customFormat="false" ht="15" hidden="false" customHeight="false" outlineLevel="0" collapsed="false">
      <c r="A101" s="0" t="s">
        <v>113</v>
      </c>
      <c r="B101" s="0" t="s">
        <v>211</v>
      </c>
      <c r="C101" s="0" t="n">
        <v>21.67</v>
      </c>
      <c r="D101" s="0" t="n">
        <v>4.26</v>
      </c>
      <c r="E101" s="0" t="n">
        <v>10.11</v>
      </c>
      <c r="F101" s="0" t="n">
        <v>2.52</v>
      </c>
      <c r="G101" s="0" t="n">
        <v>1.59</v>
      </c>
      <c r="H101" s="0" t="n">
        <v>20</v>
      </c>
      <c r="I101" s="0" t="n">
        <v>16</v>
      </c>
      <c r="J101" s="0" t="n">
        <v>6</v>
      </c>
      <c r="K101" s="0" t="n">
        <v>13</v>
      </c>
      <c r="L101" s="0" t="n">
        <v>7</v>
      </c>
      <c r="M101" s="0" t="n">
        <v>0.96</v>
      </c>
      <c r="N101" s="0" t="n">
        <v>21</v>
      </c>
    </row>
    <row r="102" customFormat="false" ht="15" hidden="false" customHeight="false" outlineLevel="0" collapsed="false">
      <c r="A102" s="0" t="s">
        <v>117</v>
      </c>
      <c r="B102" s="0" t="s">
        <v>211</v>
      </c>
      <c r="C102" s="0" t="n">
        <v>20.53</v>
      </c>
      <c r="D102" s="0" t="n">
        <v>3.42</v>
      </c>
      <c r="E102" s="0" t="n">
        <v>8.06</v>
      </c>
      <c r="F102" s="0" t="n">
        <v>2.2</v>
      </c>
      <c r="G102" s="0" t="n">
        <v>1.56</v>
      </c>
      <c r="H102" s="0" t="n">
        <v>28</v>
      </c>
      <c r="I102" s="0" t="n">
        <v>28</v>
      </c>
      <c r="J102" s="0" t="n">
        <v>30</v>
      </c>
      <c r="K102" s="0" t="n">
        <v>26</v>
      </c>
      <c r="L102" s="0" t="n">
        <v>12</v>
      </c>
      <c r="M102" s="0" t="n">
        <v>0.96</v>
      </c>
      <c r="N102" s="0" t="n">
        <v>21</v>
      </c>
    </row>
    <row r="103" customFormat="false" ht="15" hidden="false" customHeight="false" outlineLevel="0" collapsed="false">
      <c r="A103" s="0" t="s">
        <v>121</v>
      </c>
      <c r="B103" s="0" t="s">
        <v>211</v>
      </c>
      <c r="C103" s="0" t="n">
        <v>24.44</v>
      </c>
      <c r="D103" s="0" t="n">
        <v>4.13</v>
      </c>
      <c r="E103" s="0" t="n">
        <v>10.72</v>
      </c>
      <c r="F103" s="0" t="n">
        <v>2.55</v>
      </c>
      <c r="G103" s="0" t="n">
        <v>1.48</v>
      </c>
      <c r="H103" s="0" t="n">
        <v>3</v>
      </c>
      <c r="I103" s="0" t="n">
        <v>20</v>
      </c>
      <c r="J103" s="0" t="n">
        <v>2</v>
      </c>
      <c r="K103" s="0" t="n">
        <v>10</v>
      </c>
      <c r="L103" s="0" t="n">
        <v>20</v>
      </c>
      <c r="M103" s="0" t="n">
        <v>1.07</v>
      </c>
      <c r="N103" s="0" t="n">
        <v>15</v>
      </c>
    </row>
    <row r="104" customFormat="false" ht="15" hidden="false" customHeight="false" outlineLevel="0" collapsed="false">
      <c r="A104" s="0" t="s">
        <v>125</v>
      </c>
      <c r="B104" s="0" t="s">
        <v>211</v>
      </c>
      <c r="C104" s="0" t="n">
        <v>20.37</v>
      </c>
      <c r="D104" s="0" t="n">
        <v>4.2</v>
      </c>
      <c r="E104" s="0" t="n">
        <v>9.08</v>
      </c>
      <c r="F104" s="0" t="n">
        <v>2.28</v>
      </c>
      <c r="G104" s="0" t="n">
        <v>1.59</v>
      </c>
      <c r="H104" s="0" t="n">
        <v>30</v>
      </c>
      <c r="I104" s="0" t="n">
        <v>19</v>
      </c>
      <c r="J104" s="0" t="n">
        <v>25</v>
      </c>
      <c r="K104" s="0" t="n">
        <v>25</v>
      </c>
      <c r="L104" s="0" t="n">
        <v>7</v>
      </c>
      <c r="M104" s="0" t="n">
        <v>1.15</v>
      </c>
      <c r="N104" s="0" t="n">
        <v>8</v>
      </c>
    </row>
    <row r="105" customFormat="false" ht="15" hidden="false" customHeight="false" outlineLevel="0" collapsed="false">
      <c r="A105" s="0" t="s">
        <v>129</v>
      </c>
      <c r="B105" s="0" t="s">
        <v>211</v>
      </c>
      <c r="C105" s="0" t="n">
        <v>22.26</v>
      </c>
      <c r="D105" s="0" t="n">
        <v>3.8</v>
      </c>
      <c r="E105" s="0" t="n">
        <v>9.44</v>
      </c>
      <c r="F105" s="0" t="n">
        <v>2.69</v>
      </c>
      <c r="G105" s="0" t="n">
        <v>1.58</v>
      </c>
      <c r="H105" s="0" t="n">
        <v>14</v>
      </c>
      <c r="I105" s="0" t="n">
        <v>26</v>
      </c>
      <c r="J105" s="0" t="n">
        <v>23</v>
      </c>
      <c r="K105" s="0" t="n">
        <v>4</v>
      </c>
      <c r="L105" s="0" t="n">
        <v>10</v>
      </c>
      <c r="M105" s="0" t="n">
        <v>0.85</v>
      </c>
      <c r="N105" s="0" t="n">
        <v>29</v>
      </c>
    </row>
    <row r="106" customFormat="false" ht="15" hidden="false" customHeight="false" outlineLevel="0" collapsed="false">
      <c r="A106" s="0" t="s">
        <v>133</v>
      </c>
      <c r="B106" s="0" t="s">
        <v>211</v>
      </c>
      <c r="C106" s="0" t="n">
        <v>23.49</v>
      </c>
      <c r="D106" s="0" t="n">
        <v>4.32</v>
      </c>
      <c r="E106" s="0" t="n">
        <v>9.92</v>
      </c>
      <c r="F106" s="0" t="n">
        <v>2.65</v>
      </c>
      <c r="G106" s="0" t="n">
        <v>1.67</v>
      </c>
      <c r="H106" s="0" t="n">
        <v>9</v>
      </c>
      <c r="I106" s="0" t="n">
        <v>14</v>
      </c>
      <c r="J106" s="0" t="n">
        <v>11</v>
      </c>
      <c r="K106" s="0" t="n">
        <v>5</v>
      </c>
      <c r="L106" s="0" t="n">
        <v>6</v>
      </c>
      <c r="M106" s="0" t="n">
        <v>1.12</v>
      </c>
      <c r="N106" s="0" t="n">
        <v>10</v>
      </c>
    </row>
    <row r="107" customFormat="false" ht="15" hidden="false" customHeight="false" outlineLevel="0" collapsed="false">
      <c r="A107" s="0" t="s">
        <v>137</v>
      </c>
      <c r="B107" s="0" t="s">
        <v>211</v>
      </c>
      <c r="C107" s="0" t="n">
        <v>23.76</v>
      </c>
      <c r="D107" s="0" t="n">
        <v>4.48</v>
      </c>
      <c r="E107" s="0" t="n">
        <v>10.56</v>
      </c>
      <c r="F107" s="0" t="n">
        <v>2.39</v>
      </c>
      <c r="G107" s="0" t="n">
        <v>1.52</v>
      </c>
      <c r="H107" s="0" t="n">
        <v>8</v>
      </c>
      <c r="I107" s="0" t="n">
        <v>12</v>
      </c>
      <c r="J107" s="0" t="n">
        <v>4</v>
      </c>
      <c r="K107" s="0" t="n">
        <v>20</v>
      </c>
      <c r="L107" s="0" t="n">
        <v>19</v>
      </c>
      <c r="M107" s="0" t="n">
        <v>1.07</v>
      </c>
      <c r="N107" s="0" t="n">
        <v>15</v>
      </c>
    </row>
    <row r="108" customFormat="false" ht="15" hidden="false" customHeight="false" outlineLevel="0" collapsed="false">
      <c r="A108" s="0" t="s">
        <v>141</v>
      </c>
      <c r="B108" s="0" t="s">
        <v>211</v>
      </c>
      <c r="C108" s="0" t="n">
        <v>22.67</v>
      </c>
      <c r="D108" s="0" t="n">
        <v>4.99</v>
      </c>
      <c r="E108" s="0" t="n">
        <v>9.8</v>
      </c>
      <c r="F108" s="0" t="n">
        <v>2.92</v>
      </c>
      <c r="G108" s="0" t="n">
        <v>1.48</v>
      </c>
      <c r="H108" s="0" t="n">
        <v>13</v>
      </c>
      <c r="I108" s="0" t="n">
        <v>3</v>
      </c>
      <c r="J108" s="0" t="n">
        <v>15</v>
      </c>
      <c r="K108" s="0" t="n">
        <v>2</v>
      </c>
      <c r="L108" s="0" t="n">
        <v>20</v>
      </c>
      <c r="M108" s="0" t="n">
        <v>0.96</v>
      </c>
      <c r="N108" s="0" t="n">
        <v>21</v>
      </c>
    </row>
    <row r="109" customFormat="false" ht="15" hidden="false" customHeight="false" outlineLevel="0" collapsed="false">
      <c r="A109" s="0" t="s">
        <v>145</v>
      </c>
      <c r="B109" s="0" t="s">
        <v>211</v>
      </c>
      <c r="C109" s="0" t="n">
        <v>20.96</v>
      </c>
      <c r="D109" s="0" t="n">
        <v>3.38</v>
      </c>
      <c r="E109" s="0" t="n">
        <v>9.59</v>
      </c>
      <c r="F109" s="0" t="n">
        <v>2.35</v>
      </c>
      <c r="G109" s="0" t="n">
        <v>1.39</v>
      </c>
      <c r="H109" s="0" t="n">
        <v>27</v>
      </c>
      <c r="I109" s="0" t="n">
        <v>29</v>
      </c>
      <c r="J109" s="0" t="n">
        <v>20</v>
      </c>
      <c r="K109" s="0" t="n">
        <v>24</v>
      </c>
      <c r="L109" s="0" t="n">
        <v>25</v>
      </c>
      <c r="M109" s="0" t="n">
        <v>0.92</v>
      </c>
      <c r="N109" s="0" t="n">
        <v>26</v>
      </c>
    </row>
    <row r="110" customFormat="false" ht="15" hidden="false" customHeight="false" outlineLevel="0" collapsed="false">
      <c r="A110" s="0" t="s">
        <v>149</v>
      </c>
      <c r="B110" s="0" t="s">
        <v>211</v>
      </c>
      <c r="C110" s="0" t="n">
        <v>21.76</v>
      </c>
      <c r="D110" s="0" t="n">
        <v>4.65</v>
      </c>
      <c r="E110" s="0" t="n">
        <v>9.92</v>
      </c>
      <c r="F110" s="0" t="n">
        <v>2.61</v>
      </c>
      <c r="G110" s="0" t="n">
        <v>1.54</v>
      </c>
      <c r="H110" s="0" t="n">
        <v>19</v>
      </c>
      <c r="I110" s="0" t="n">
        <v>8</v>
      </c>
      <c r="J110" s="0" t="n">
        <v>11</v>
      </c>
      <c r="K110" s="0" t="n">
        <v>7</v>
      </c>
      <c r="L110" s="0" t="n">
        <v>16</v>
      </c>
      <c r="M110" s="0" t="n">
        <v>1.45</v>
      </c>
      <c r="N110" s="0" t="n">
        <v>2</v>
      </c>
    </row>
    <row r="111" customFormat="false" ht="15" hidden="false" customHeight="false" outlineLevel="0" collapsed="false">
      <c r="A111" s="0" t="s">
        <v>153</v>
      </c>
      <c r="B111" s="0" t="s">
        <v>211</v>
      </c>
      <c r="C111" s="0" t="n">
        <v>21.02</v>
      </c>
      <c r="D111" s="0" t="n">
        <v>4.11</v>
      </c>
      <c r="E111" s="0" t="n">
        <v>8.5</v>
      </c>
      <c r="F111" s="0" t="n">
        <v>2.54</v>
      </c>
      <c r="G111" s="0" t="n">
        <v>1.36</v>
      </c>
      <c r="H111" s="0" t="n">
        <v>26</v>
      </c>
      <c r="I111" s="0" t="n">
        <v>22</v>
      </c>
      <c r="J111" s="0" t="n">
        <v>29</v>
      </c>
      <c r="K111" s="0" t="n">
        <v>11</v>
      </c>
      <c r="L111" s="0" t="n">
        <v>29</v>
      </c>
      <c r="M111" s="0" t="n">
        <v>0.75</v>
      </c>
      <c r="N111" s="0" t="n">
        <v>30</v>
      </c>
    </row>
    <row r="112" customFormat="false" ht="15" hidden="false" customHeight="false" outlineLevel="0" collapsed="false">
      <c r="A112" s="0" t="s">
        <v>157</v>
      </c>
      <c r="B112" s="0" t="s">
        <v>211</v>
      </c>
      <c r="C112" s="0" t="n">
        <v>21.67</v>
      </c>
      <c r="D112" s="0" t="n">
        <v>4.12</v>
      </c>
      <c r="E112" s="0" t="n">
        <v>9.66</v>
      </c>
      <c r="F112" s="0" t="n">
        <v>2.98</v>
      </c>
      <c r="G112" s="0" t="n">
        <v>1.58</v>
      </c>
      <c r="H112" s="0" t="n">
        <v>20</v>
      </c>
      <c r="I112" s="0" t="n">
        <v>21</v>
      </c>
      <c r="J112" s="0" t="n">
        <v>17</v>
      </c>
      <c r="K112" s="0" t="n">
        <v>1</v>
      </c>
      <c r="L112" s="0" t="n">
        <v>10</v>
      </c>
      <c r="M112" s="0" t="n">
        <v>0.96</v>
      </c>
      <c r="N112" s="0" t="n">
        <v>21</v>
      </c>
    </row>
    <row r="113" customFormat="false" ht="15" hidden="false" customHeight="false" outlineLevel="0" collapsed="false">
      <c r="A113" s="0" t="s">
        <v>160</v>
      </c>
      <c r="B113" s="0" t="s">
        <v>211</v>
      </c>
      <c r="C113" s="0" t="n">
        <v>21.23</v>
      </c>
      <c r="D113" s="0" t="n">
        <v>3.32</v>
      </c>
      <c r="E113" s="0" t="n">
        <v>9.88</v>
      </c>
      <c r="F113" s="0" t="n">
        <v>2</v>
      </c>
      <c r="G113" s="0" t="n">
        <v>1.72</v>
      </c>
      <c r="H113" s="0" t="n">
        <v>24</v>
      </c>
      <c r="I113" s="0" t="n">
        <v>30</v>
      </c>
      <c r="J113" s="0" t="n">
        <v>13</v>
      </c>
      <c r="K113" s="0" t="n">
        <v>29</v>
      </c>
      <c r="L113" s="0" t="n">
        <v>5</v>
      </c>
      <c r="M113" s="0" t="n">
        <v>1.12</v>
      </c>
      <c r="N113" s="0" t="n">
        <v>10</v>
      </c>
    </row>
    <row r="114" customFormat="false" ht="15" hidden="false" customHeight="false" outlineLevel="0" collapsed="false">
      <c r="A114" s="0" t="s">
        <v>164</v>
      </c>
      <c r="B114" s="0" t="s">
        <v>211</v>
      </c>
      <c r="C114" s="0" t="n">
        <v>22.01</v>
      </c>
      <c r="D114" s="0" t="n">
        <v>4.32</v>
      </c>
      <c r="E114" s="0" t="n">
        <v>10.56</v>
      </c>
      <c r="F114" s="0" t="n">
        <v>2.39</v>
      </c>
      <c r="G114" s="0" t="n">
        <v>1.38</v>
      </c>
      <c r="H114" s="0" t="n">
        <v>17</v>
      </c>
      <c r="I114" s="0" t="n">
        <v>14</v>
      </c>
      <c r="J114" s="0" t="n">
        <v>4</v>
      </c>
      <c r="K114" s="0" t="n">
        <v>20</v>
      </c>
      <c r="L114" s="0" t="n">
        <v>26</v>
      </c>
      <c r="M114" s="0" t="n">
        <v>1.23</v>
      </c>
      <c r="N114" s="0" t="n">
        <v>5</v>
      </c>
    </row>
    <row r="115" customFormat="false" ht="15" hidden="false" customHeight="false" outlineLevel="0" collapsed="false">
      <c r="A115" s="0" t="s">
        <v>168</v>
      </c>
      <c r="B115" s="0" t="s">
        <v>211</v>
      </c>
      <c r="C115" s="0" t="n">
        <v>21.2</v>
      </c>
      <c r="D115" s="0" t="n">
        <v>4.22</v>
      </c>
      <c r="E115" s="0" t="n">
        <v>9.73</v>
      </c>
      <c r="F115" s="0" t="n">
        <v>2.14</v>
      </c>
      <c r="G115" s="0" t="n">
        <v>1.54</v>
      </c>
      <c r="H115" s="0" t="n">
        <v>25</v>
      </c>
      <c r="I115" s="0" t="n">
        <v>18</v>
      </c>
      <c r="J115" s="0" t="n">
        <v>16</v>
      </c>
      <c r="K115" s="0" t="n">
        <v>28</v>
      </c>
      <c r="L115" s="0" t="n">
        <v>16</v>
      </c>
      <c r="M115" s="0" t="n">
        <v>0.97</v>
      </c>
      <c r="N115" s="0" t="n">
        <v>20</v>
      </c>
    </row>
    <row r="116" customFormat="false" ht="15" hidden="false" customHeight="false" outlineLevel="0" collapsed="false">
      <c r="A116" s="0" t="s">
        <v>172</v>
      </c>
      <c r="B116" s="0" t="s">
        <v>211</v>
      </c>
      <c r="C116" s="0" t="n">
        <v>21.56</v>
      </c>
      <c r="D116" s="0" t="n">
        <v>4.25</v>
      </c>
      <c r="E116" s="0" t="n">
        <v>8.96</v>
      </c>
      <c r="F116" s="0" t="n">
        <v>2.36</v>
      </c>
      <c r="G116" s="0" t="n">
        <v>1.93</v>
      </c>
      <c r="H116" s="0" t="n">
        <v>22</v>
      </c>
      <c r="I116" s="0" t="n">
        <v>17</v>
      </c>
      <c r="J116" s="0" t="n">
        <v>27</v>
      </c>
      <c r="K116" s="0" t="n">
        <v>23</v>
      </c>
      <c r="L116" s="0" t="n">
        <v>1</v>
      </c>
      <c r="M116" s="0" t="n">
        <v>1.21</v>
      </c>
      <c r="N116" s="0" t="n">
        <v>6</v>
      </c>
    </row>
    <row r="117" customFormat="false" ht="15" hidden="false" customHeight="false" outlineLevel="0" collapsed="false">
      <c r="A117" s="0" t="s">
        <v>176</v>
      </c>
      <c r="B117" s="0" t="s">
        <v>211</v>
      </c>
      <c r="C117" s="0" t="n">
        <v>23.92</v>
      </c>
      <c r="D117" s="0" t="n">
        <v>4.56</v>
      </c>
      <c r="E117" s="0" t="n">
        <v>9.66</v>
      </c>
      <c r="F117" s="0" t="n">
        <v>2.53</v>
      </c>
      <c r="G117" s="0" t="n">
        <v>1.55</v>
      </c>
      <c r="H117" s="0" t="n">
        <v>5</v>
      </c>
      <c r="I117" s="0" t="n">
        <v>11</v>
      </c>
      <c r="J117" s="0" t="n">
        <v>17</v>
      </c>
      <c r="K117" s="0" t="n">
        <v>12</v>
      </c>
      <c r="L117" s="0" t="n">
        <v>13</v>
      </c>
      <c r="M117" s="0" t="n">
        <v>1.14</v>
      </c>
      <c r="N117" s="0" t="n">
        <v>9</v>
      </c>
    </row>
    <row r="118" customFormat="false" ht="15" hidden="false" customHeight="false" outlineLevel="0" collapsed="false">
      <c r="A118" s="0" t="s">
        <v>179</v>
      </c>
      <c r="B118" s="0" t="s">
        <v>211</v>
      </c>
      <c r="C118" s="0" t="n">
        <v>20.4</v>
      </c>
      <c r="D118" s="0" t="n">
        <v>3.72</v>
      </c>
      <c r="E118" s="0" t="n">
        <v>9.2</v>
      </c>
      <c r="F118" s="0" t="n">
        <v>2.38</v>
      </c>
      <c r="G118" s="0" t="n">
        <v>1.59</v>
      </c>
      <c r="H118" s="0" t="n">
        <v>29</v>
      </c>
      <c r="I118" s="0" t="n">
        <v>27</v>
      </c>
      <c r="J118" s="0" t="n">
        <v>24</v>
      </c>
      <c r="K118" s="0" t="n">
        <v>22</v>
      </c>
      <c r="L118" s="0" t="n">
        <v>7</v>
      </c>
      <c r="M118" s="0" t="n">
        <v>0.9</v>
      </c>
      <c r="N118" s="0" t="n">
        <v>27</v>
      </c>
    </row>
    <row r="119" customFormat="false" ht="15" hidden="false" customHeight="false" outlineLevel="0" collapsed="false">
      <c r="A119" s="0" t="s">
        <v>183</v>
      </c>
      <c r="B119" s="0" t="s">
        <v>211</v>
      </c>
      <c r="C119" s="0" t="n">
        <v>22.01</v>
      </c>
      <c r="D119" s="0" t="n">
        <v>3.93</v>
      </c>
      <c r="E119" s="0" t="n">
        <v>9.98</v>
      </c>
      <c r="F119" s="0" t="n">
        <v>2.45</v>
      </c>
      <c r="G119" s="0" t="n">
        <v>1.42</v>
      </c>
      <c r="H119" s="0" t="n">
        <v>17</v>
      </c>
      <c r="I119" s="0" t="n">
        <v>23</v>
      </c>
      <c r="J119" s="0" t="n">
        <v>10</v>
      </c>
      <c r="K119" s="0" t="n">
        <v>17</v>
      </c>
      <c r="L119" s="0" t="n">
        <v>24</v>
      </c>
      <c r="M119" s="0" t="n">
        <v>1</v>
      </c>
      <c r="N119" s="0" t="n">
        <v>19</v>
      </c>
    </row>
    <row r="120" customFormat="false" ht="15" hidden="false" customHeight="false" outlineLevel="0" collapsed="false">
      <c r="A120" s="0" t="s">
        <v>187</v>
      </c>
      <c r="B120" s="0" t="s">
        <v>211</v>
      </c>
      <c r="C120" s="0" t="n">
        <v>23.87</v>
      </c>
      <c r="D120" s="0" t="n">
        <v>5.17</v>
      </c>
      <c r="E120" s="0" t="n">
        <v>9.45</v>
      </c>
      <c r="F120" s="0" t="n">
        <v>2.44</v>
      </c>
      <c r="G120" s="0" t="n">
        <v>1.78</v>
      </c>
      <c r="H120" s="0" t="n">
        <v>6</v>
      </c>
      <c r="I120" s="0" t="n">
        <v>1</v>
      </c>
      <c r="J120" s="0" t="n">
        <v>21</v>
      </c>
      <c r="K120" s="0" t="n">
        <v>18</v>
      </c>
      <c r="L120" s="0" t="n">
        <v>3</v>
      </c>
      <c r="M120" s="0" t="n">
        <v>1.32</v>
      </c>
      <c r="N120" s="0" t="n">
        <v>3</v>
      </c>
    </row>
    <row r="121" customFormat="false" ht="15" hidden="false" customHeight="false" outlineLevel="0" collapsed="false">
      <c r="A121" s="0" t="s">
        <v>191</v>
      </c>
      <c r="B121" s="0" t="s">
        <v>211</v>
      </c>
      <c r="C121" s="0" t="n">
        <v>25.81</v>
      </c>
      <c r="D121" s="0" t="n">
        <v>4.79</v>
      </c>
      <c r="E121" s="0" t="n">
        <v>10.97</v>
      </c>
      <c r="F121" s="0" t="n">
        <v>2.58</v>
      </c>
      <c r="G121" s="0" t="n">
        <v>1.8</v>
      </c>
      <c r="H121" s="0" t="n">
        <v>1</v>
      </c>
      <c r="I121" s="0" t="n">
        <v>5</v>
      </c>
      <c r="J121" s="0" t="n">
        <v>1</v>
      </c>
      <c r="K121" s="0" t="n">
        <v>8</v>
      </c>
      <c r="L121" s="0" t="n">
        <v>2</v>
      </c>
      <c r="M121" s="0" t="n">
        <v>1.12</v>
      </c>
      <c r="N121" s="0" t="n">
        <v>10</v>
      </c>
    </row>
    <row r="122" customFormat="false" ht="15" hidden="false" customHeight="false" outlineLevel="0" collapsed="false">
      <c r="A122" s="0" t="s">
        <v>78</v>
      </c>
      <c r="B122" s="0" t="s">
        <v>212</v>
      </c>
      <c r="C122" s="0" t="n">
        <v>22.6</v>
      </c>
      <c r="D122" s="0" t="n">
        <v>4.19</v>
      </c>
      <c r="E122" s="0" t="n">
        <v>15.47</v>
      </c>
      <c r="F122" s="0" t="n">
        <v>1.11</v>
      </c>
      <c r="G122" s="0" t="n">
        <v>1.41</v>
      </c>
      <c r="H122" s="0" t="n">
        <v>12</v>
      </c>
      <c r="I122" s="0" t="n">
        <v>15</v>
      </c>
      <c r="J122" s="0" t="n">
        <v>4</v>
      </c>
      <c r="K122" s="0" t="n">
        <v>25</v>
      </c>
      <c r="L122" s="0" t="n">
        <v>16</v>
      </c>
      <c r="M122" s="0" t="n">
        <v>1.86</v>
      </c>
      <c r="N122" s="0" t="n">
        <v>20</v>
      </c>
    </row>
    <row r="123" customFormat="false" ht="15" hidden="false" customHeight="false" outlineLevel="0" collapsed="false">
      <c r="A123" s="0" t="s">
        <v>86</v>
      </c>
      <c r="B123" s="0" t="s">
        <v>212</v>
      </c>
      <c r="C123" s="0" t="n">
        <v>23.22</v>
      </c>
      <c r="D123" s="0" t="n">
        <v>3.45</v>
      </c>
      <c r="E123" s="0" t="n">
        <v>13.98</v>
      </c>
      <c r="F123" s="0" t="n">
        <v>1.07</v>
      </c>
      <c r="G123" s="0" t="n">
        <v>1.75</v>
      </c>
      <c r="H123" s="0" t="n">
        <v>9</v>
      </c>
      <c r="I123" s="0" t="n">
        <v>28</v>
      </c>
      <c r="J123" s="0" t="n">
        <v>21</v>
      </c>
      <c r="K123" s="0" t="n">
        <v>26</v>
      </c>
      <c r="L123" s="0" t="n">
        <v>3</v>
      </c>
      <c r="M123" s="0" t="n">
        <v>2.4</v>
      </c>
      <c r="N123" s="0" t="n">
        <v>7</v>
      </c>
    </row>
    <row r="124" customFormat="false" ht="15" hidden="false" customHeight="false" outlineLevel="0" collapsed="false">
      <c r="A124" s="0" t="s">
        <v>82</v>
      </c>
      <c r="B124" s="0" t="s">
        <v>212</v>
      </c>
      <c r="C124" s="0" t="n">
        <v>20.63</v>
      </c>
      <c r="D124" s="0" t="n">
        <v>3.65</v>
      </c>
      <c r="E124" s="0" t="n">
        <v>12.86</v>
      </c>
      <c r="F124" s="0" t="n">
        <v>1.8</v>
      </c>
      <c r="G124" s="0" t="n">
        <v>1.18</v>
      </c>
      <c r="H124" s="0" t="n">
        <v>23</v>
      </c>
      <c r="I124" s="0" t="n">
        <v>25</v>
      </c>
      <c r="J124" s="0" t="n">
        <v>29</v>
      </c>
      <c r="K124" s="0" t="n">
        <v>1</v>
      </c>
      <c r="L124" s="0" t="n">
        <v>28</v>
      </c>
      <c r="M124" s="0" t="n">
        <v>1.6</v>
      </c>
      <c r="N124" s="0" t="n">
        <v>27</v>
      </c>
    </row>
    <row r="125" customFormat="false" ht="15" hidden="false" customHeight="false" outlineLevel="0" collapsed="false">
      <c r="A125" s="0" t="s">
        <v>90</v>
      </c>
      <c r="B125" s="0" t="s">
        <v>212</v>
      </c>
      <c r="C125" s="0" t="n">
        <v>20.45</v>
      </c>
      <c r="D125" s="0" t="n">
        <v>3.74</v>
      </c>
      <c r="E125" s="0" t="n">
        <v>12.09</v>
      </c>
      <c r="F125" s="0" t="n">
        <v>1.62</v>
      </c>
      <c r="G125" s="0" t="n">
        <v>1.3</v>
      </c>
      <c r="H125" s="0" t="n">
        <v>25</v>
      </c>
      <c r="I125" s="0" t="n">
        <v>21</v>
      </c>
      <c r="J125" s="0" t="n">
        <v>30</v>
      </c>
      <c r="K125" s="0" t="n">
        <v>3</v>
      </c>
      <c r="L125" s="0" t="n">
        <v>21</v>
      </c>
      <c r="M125" s="0" t="n">
        <v>1.97</v>
      </c>
      <c r="N125" s="0" t="n">
        <v>16</v>
      </c>
    </row>
    <row r="126" customFormat="false" ht="15" hidden="false" customHeight="false" outlineLevel="0" collapsed="false">
      <c r="A126" s="0" t="s">
        <v>4</v>
      </c>
      <c r="B126" s="0" t="s">
        <v>212</v>
      </c>
      <c r="C126" s="0" t="n">
        <v>24.87</v>
      </c>
      <c r="D126" s="0" t="n">
        <v>4.36</v>
      </c>
      <c r="E126" s="0" t="n">
        <v>14.87</v>
      </c>
      <c r="F126" s="0" t="n">
        <v>1.6</v>
      </c>
      <c r="G126" s="0" t="n">
        <v>1.64</v>
      </c>
      <c r="H126" s="0" t="n">
        <v>2</v>
      </c>
      <c r="I126" s="0" t="n">
        <v>9</v>
      </c>
      <c r="J126" s="0" t="n">
        <v>11</v>
      </c>
      <c r="K126" s="0" t="n">
        <v>4</v>
      </c>
      <c r="L126" s="0" t="n">
        <v>5</v>
      </c>
      <c r="M126" s="0" t="n">
        <v>2.56</v>
      </c>
      <c r="N126" s="0" t="n">
        <v>3</v>
      </c>
    </row>
    <row r="127" customFormat="false" ht="15" hidden="false" customHeight="false" outlineLevel="0" collapsed="false">
      <c r="A127" s="0" t="s">
        <v>97</v>
      </c>
      <c r="B127" s="0" t="s">
        <v>212</v>
      </c>
      <c r="C127" s="0" t="n">
        <v>21.4</v>
      </c>
      <c r="D127" s="0" t="n">
        <v>3.72</v>
      </c>
      <c r="E127" s="0" t="n">
        <v>14.59</v>
      </c>
      <c r="F127" s="0" t="n">
        <v>1.41</v>
      </c>
      <c r="G127" s="0" t="n">
        <v>1.76</v>
      </c>
      <c r="H127" s="0" t="n">
        <v>19</v>
      </c>
      <c r="I127" s="0" t="n">
        <v>22</v>
      </c>
      <c r="J127" s="0" t="n">
        <v>13</v>
      </c>
      <c r="K127" s="0" t="n">
        <v>11</v>
      </c>
      <c r="L127" s="0" t="n">
        <v>2</v>
      </c>
      <c r="M127" s="0" t="n">
        <v>1.72</v>
      </c>
      <c r="N127" s="0" t="n">
        <v>25</v>
      </c>
    </row>
    <row r="128" customFormat="false" ht="15" hidden="false" customHeight="false" outlineLevel="0" collapsed="false">
      <c r="A128" s="0" t="s">
        <v>101</v>
      </c>
      <c r="B128" s="0" t="s">
        <v>212</v>
      </c>
      <c r="C128" s="0" t="n">
        <v>24.64</v>
      </c>
      <c r="D128" s="0" t="n">
        <v>4.87</v>
      </c>
      <c r="E128" s="0" t="n">
        <v>15.2</v>
      </c>
      <c r="F128" s="0" t="n">
        <v>1.39</v>
      </c>
      <c r="G128" s="0" t="n">
        <v>1.55</v>
      </c>
      <c r="H128" s="0" t="n">
        <v>3</v>
      </c>
      <c r="I128" s="0" t="n">
        <v>2</v>
      </c>
      <c r="J128" s="0" t="n">
        <v>7</v>
      </c>
      <c r="K128" s="0" t="n">
        <v>12</v>
      </c>
      <c r="L128" s="0" t="n">
        <v>8</v>
      </c>
      <c r="M128" s="0" t="n">
        <v>2.18</v>
      </c>
      <c r="N128" s="0" t="n">
        <v>9</v>
      </c>
    </row>
    <row r="129" customFormat="false" ht="15" hidden="false" customHeight="false" outlineLevel="0" collapsed="false">
      <c r="A129" s="0" t="s">
        <v>105</v>
      </c>
      <c r="B129" s="0" t="s">
        <v>212</v>
      </c>
      <c r="C129" s="0" t="n">
        <v>22.07</v>
      </c>
      <c r="D129" s="0" t="n">
        <v>3.72</v>
      </c>
      <c r="E129" s="0" t="n">
        <v>13.76</v>
      </c>
      <c r="F129" s="0" t="n">
        <v>1.57</v>
      </c>
      <c r="G129" s="0" t="n">
        <v>1.34</v>
      </c>
      <c r="H129" s="0" t="n">
        <v>15</v>
      </c>
      <c r="I129" s="0" t="n">
        <v>22</v>
      </c>
      <c r="J129" s="0" t="n">
        <v>23</v>
      </c>
      <c r="K129" s="0" t="n">
        <v>5</v>
      </c>
      <c r="L129" s="0" t="n">
        <v>19</v>
      </c>
      <c r="M129" s="0" t="n">
        <v>1.46</v>
      </c>
      <c r="N129" s="0" t="n">
        <v>29</v>
      </c>
    </row>
    <row r="130" customFormat="false" ht="15" hidden="false" customHeight="false" outlineLevel="0" collapsed="false">
      <c r="A130" s="0" t="s">
        <v>109</v>
      </c>
      <c r="B130" s="0" t="s">
        <v>212</v>
      </c>
      <c r="C130" s="0" t="n">
        <v>19.56</v>
      </c>
      <c r="D130" s="0" t="n">
        <v>3.61</v>
      </c>
      <c r="E130" s="0" t="n">
        <v>12.96</v>
      </c>
      <c r="F130" s="0" t="n">
        <v>1.35</v>
      </c>
      <c r="G130" s="0" t="n">
        <v>1.55</v>
      </c>
      <c r="H130" s="0" t="n">
        <v>29</v>
      </c>
      <c r="I130" s="0" t="n">
        <v>27</v>
      </c>
      <c r="J130" s="0" t="n">
        <v>27</v>
      </c>
      <c r="K130" s="0" t="n">
        <v>15</v>
      </c>
      <c r="L130" s="0" t="n">
        <v>8</v>
      </c>
      <c r="M130" s="0" t="n">
        <v>2.22</v>
      </c>
      <c r="N130" s="0" t="n">
        <v>8</v>
      </c>
    </row>
    <row r="131" customFormat="false" ht="15" hidden="false" customHeight="false" outlineLevel="0" collapsed="false">
      <c r="A131" s="0" t="s">
        <v>113</v>
      </c>
      <c r="B131" s="0" t="s">
        <v>212</v>
      </c>
      <c r="C131" s="0" t="n">
        <v>22.4</v>
      </c>
      <c r="D131" s="0" t="n">
        <v>4.59</v>
      </c>
      <c r="E131" s="0" t="n">
        <v>15.21</v>
      </c>
      <c r="F131" s="0" t="n">
        <v>1.17</v>
      </c>
      <c r="G131" s="0" t="n">
        <v>1.43</v>
      </c>
      <c r="H131" s="0" t="n">
        <v>13</v>
      </c>
      <c r="I131" s="0" t="n">
        <v>5</v>
      </c>
      <c r="J131" s="0" t="n">
        <v>6</v>
      </c>
      <c r="K131" s="0" t="n">
        <v>23</v>
      </c>
      <c r="L131" s="0" t="n">
        <v>14</v>
      </c>
      <c r="M131" s="0" t="n">
        <v>1.7</v>
      </c>
      <c r="N131" s="0" t="n">
        <v>26</v>
      </c>
    </row>
    <row r="132" customFormat="false" ht="15" hidden="false" customHeight="false" outlineLevel="0" collapsed="false">
      <c r="A132" s="0" t="s">
        <v>117</v>
      </c>
      <c r="B132" s="0" t="s">
        <v>212</v>
      </c>
      <c r="C132" s="0" t="n">
        <v>20.59</v>
      </c>
      <c r="D132" s="0" t="n">
        <v>4</v>
      </c>
      <c r="E132" s="0" t="n">
        <v>13.18</v>
      </c>
      <c r="F132" s="0" t="n">
        <v>1.06</v>
      </c>
      <c r="G132" s="0" t="n">
        <v>1.55</v>
      </c>
      <c r="H132" s="0" t="n">
        <v>24</v>
      </c>
      <c r="I132" s="0" t="n">
        <v>17</v>
      </c>
      <c r="J132" s="0" t="n">
        <v>26</v>
      </c>
      <c r="K132" s="0" t="n">
        <v>27</v>
      </c>
      <c r="L132" s="0" t="n">
        <v>8</v>
      </c>
      <c r="M132" s="0" t="n">
        <v>1.93</v>
      </c>
      <c r="N132" s="0" t="n">
        <v>17</v>
      </c>
    </row>
    <row r="133" customFormat="false" ht="15" hidden="false" customHeight="false" outlineLevel="0" collapsed="false">
      <c r="A133" s="0" t="s">
        <v>121</v>
      </c>
      <c r="B133" s="0" t="s">
        <v>212</v>
      </c>
      <c r="C133" s="0" t="n">
        <v>23.8</v>
      </c>
      <c r="D133" s="0" t="n">
        <v>4.23</v>
      </c>
      <c r="E133" s="0" t="n">
        <v>14.99</v>
      </c>
      <c r="F133" s="0" t="n">
        <v>1.05</v>
      </c>
      <c r="G133" s="0" t="n">
        <v>1.26</v>
      </c>
      <c r="H133" s="0" t="n">
        <v>6</v>
      </c>
      <c r="I133" s="0" t="n">
        <v>13</v>
      </c>
      <c r="J133" s="0" t="n">
        <v>9</v>
      </c>
      <c r="K133" s="0" t="n">
        <v>28</v>
      </c>
      <c r="L133" s="0" t="n">
        <v>23</v>
      </c>
      <c r="M133" s="0" t="n">
        <v>1.86</v>
      </c>
      <c r="N133" s="0" t="n">
        <v>20</v>
      </c>
    </row>
    <row r="134" customFormat="false" ht="15" hidden="false" customHeight="false" outlineLevel="0" collapsed="false">
      <c r="A134" s="0" t="s">
        <v>125</v>
      </c>
      <c r="B134" s="0" t="s">
        <v>212</v>
      </c>
      <c r="C134" s="0" t="n">
        <v>21.92</v>
      </c>
      <c r="D134" s="0" t="n">
        <v>3.69</v>
      </c>
      <c r="E134" s="0" t="n">
        <v>14.01</v>
      </c>
      <c r="F134" s="0" t="n">
        <v>1.39</v>
      </c>
      <c r="G134" s="0" t="n">
        <v>1.51</v>
      </c>
      <c r="H134" s="0" t="n">
        <v>16</v>
      </c>
      <c r="I134" s="0" t="n">
        <v>24</v>
      </c>
      <c r="J134" s="0" t="n">
        <v>20</v>
      </c>
      <c r="K134" s="0" t="n">
        <v>12</v>
      </c>
      <c r="L134" s="0" t="n">
        <v>11</v>
      </c>
      <c r="M134" s="0" t="n">
        <v>1.88</v>
      </c>
      <c r="N134" s="0" t="n">
        <v>19</v>
      </c>
    </row>
    <row r="135" customFormat="false" ht="15" hidden="false" customHeight="false" outlineLevel="0" collapsed="false">
      <c r="A135" s="0" t="s">
        <v>129</v>
      </c>
      <c r="B135" s="0" t="s">
        <v>212</v>
      </c>
      <c r="C135" s="0" t="n">
        <v>20.85</v>
      </c>
      <c r="D135" s="0" t="n">
        <v>4.52</v>
      </c>
      <c r="E135" s="0" t="n">
        <v>13.67</v>
      </c>
      <c r="F135" s="0" t="n">
        <v>0.82</v>
      </c>
      <c r="G135" s="0" t="n">
        <v>1.63</v>
      </c>
      <c r="H135" s="0" t="n">
        <v>22</v>
      </c>
      <c r="I135" s="0" t="n">
        <v>6</v>
      </c>
      <c r="J135" s="0" t="n">
        <v>24</v>
      </c>
      <c r="K135" s="0" t="n">
        <v>30</v>
      </c>
      <c r="L135" s="0" t="n">
        <v>6</v>
      </c>
      <c r="M135" s="0" t="n">
        <v>1.43</v>
      </c>
      <c r="N135" s="0" t="n">
        <v>30</v>
      </c>
    </row>
    <row r="136" customFormat="false" ht="15" hidden="false" customHeight="false" outlineLevel="0" collapsed="false">
      <c r="A136" s="0" t="s">
        <v>133</v>
      </c>
      <c r="B136" s="0" t="s">
        <v>212</v>
      </c>
      <c r="C136" s="0" t="n">
        <v>23</v>
      </c>
      <c r="D136" s="0" t="n">
        <v>4.63</v>
      </c>
      <c r="E136" s="0" t="n">
        <v>15.69</v>
      </c>
      <c r="F136" s="0" t="n">
        <v>1.18</v>
      </c>
      <c r="G136" s="0" t="n">
        <v>1.49</v>
      </c>
      <c r="H136" s="0" t="n">
        <v>11</v>
      </c>
      <c r="I136" s="0" t="n">
        <v>4</v>
      </c>
      <c r="J136" s="0" t="n">
        <v>2</v>
      </c>
      <c r="K136" s="0" t="n">
        <v>22</v>
      </c>
      <c r="L136" s="0" t="n">
        <v>13</v>
      </c>
      <c r="M136" s="0" t="n">
        <v>2.15</v>
      </c>
      <c r="N136" s="0" t="n">
        <v>12</v>
      </c>
    </row>
    <row r="137" customFormat="false" ht="15" hidden="false" customHeight="false" outlineLevel="0" collapsed="false">
      <c r="A137" s="0" t="s">
        <v>137</v>
      </c>
      <c r="B137" s="0" t="s">
        <v>212</v>
      </c>
      <c r="C137" s="0" t="n">
        <v>22.19</v>
      </c>
      <c r="D137" s="0" t="n">
        <v>3.78</v>
      </c>
      <c r="E137" s="0" t="n">
        <v>14.81</v>
      </c>
      <c r="F137" s="0" t="n">
        <v>1.36</v>
      </c>
      <c r="G137" s="0" t="n">
        <v>1.22</v>
      </c>
      <c r="H137" s="0" t="n">
        <v>14</v>
      </c>
      <c r="I137" s="0" t="n">
        <v>20</v>
      </c>
      <c r="J137" s="0" t="n">
        <v>12</v>
      </c>
      <c r="K137" s="0" t="n">
        <v>14</v>
      </c>
      <c r="L137" s="0" t="n">
        <v>26</v>
      </c>
      <c r="M137" s="0" t="n">
        <v>1.84</v>
      </c>
      <c r="N137" s="0" t="n">
        <v>22</v>
      </c>
    </row>
    <row r="138" customFormat="false" ht="15" hidden="false" customHeight="false" outlineLevel="0" collapsed="false">
      <c r="A138" s="0" t="s">
        <v>141</v>
      </c>
      <c r="B138" s="0" t="s">
        <v>212</v>
      </c>
      <c r="C138" s="0" t="n">
        <v>21.26</v>
      </c>
      <c r="D138" s="0" t="n">
        <v>3.62</v>
      </c>
      <c r="E138" s="0" t="n">
        <v>13.98</v>
      </c>
      <c r="F138" s="0" t="n">
        <v>1.22</v>
      </c>
      <c r="G138" s="0" t="n">
        <v>1.57</v>
      </c>
      <c r="H138" s="0" t="n">
        <v>20</v>
      </c>
      <c r="I138" s="0" t="n">
        <v>26</v>
      </c>
      <c r="J138" s="0" t="n">
        <v>21</v>
      </c>
      <c r="K138" s="0" t="n">
        <v>20</v>
      </c>
      <c r="L138" s="0" t="n">
        <v>7</v>
      </c>
      <c r="M138" s="0" t="n">
        <v>1.55</v>
      </c>
      <c r="N138" s="0" t="n">
        <v>28</v>
      </c>
    </row>
    <row r="139" customFormat="false" ht="15" hidden="false" customHeight="false" outlineLevel="0" collapsed="false">
      <c r="A139" s="0" t="s">
        <v>145</v>
      </c>
      <c r="B139" s="0" t="s">
        <v>212</v>
      </c>
      <c r="C139" s="0" t="n">
        <v>23.06</v>
      </c>
      <c r="D139" s="0" t="n">
        <v>4.92</v>
      </c>
      <c r="E139" s="0" t="n">
        <v>14.39</v>
      </c>
      <c r="F139" s="0" t="n">
        <v>1.31</v>
      </c>
      <c r="G139" s="0" t="n">
        <v>1.42</v>
      </c>
      <c r="H139" s="0" t="n">
        <v>10</v>
      </c>
      <c r="I139" s="0" t="n">
        <v>1</v>
      </c>
      <c r="J139" s="0" t="n">
        <v>16</v>
      </c>
      <c r="K139" s="0" t="n">
        <v>18</v>
      </c>
      <c r="L139" s="0" t="n">
        <v>15</v>
      </c>
      <c r="M139" s="0" t="n">
        <v>1.89</v>
      </c>
      <c r="N139" s="0" t="n">
        <v>18</v>
      </c>
    </row>
    <row r="140" customFormat="false" ht="15" hidden="false" customHeight="false" outlineLevel="0" collapsed="false">
      <c r="A140" s="0" t="s">
        <v>149</v>
      </c>
      <c r="B140" s="0" t="s">
        <v>212</v>
      </c>
      <c r="C140" s="0" t="n">
        <v>23.56</v>
      </c>
      <c r="D140" s="0" t="n">
        <v>4.31</v>
      </c>
      <c r="E140" s="0" t="n">
        <v>15.49</v>
      </c>
      <c r="F140" s="0" t="n">
        <v>1.27</v>
      </c>
      <c r="G140" s="0" t="n">
        <v>1.24</v>
      </c>
      <c r="H140" s="0" t="n">
        <v>7</v>
      </c>
      <c r="I140" s="0" t="n">
        <v>10</v>
      </c>
      <c r="J140" s="0" t="n">
        <v>3</v>
      </c>
      <c r="K140" s="0" t="n">
        <v>19</v>
      </c>
      <c r="L140" s="0" t="n">
        <v>25</v>
      </c>
      <c r="M140" s="0" t="n">
        <v>2.67</v>
      </c>
      <c r="N140" s="0" t="n">
        <v>1</v>
      </c>
    </row>
    <row r="141" customFormat="false" ht="15" hidden="false" customHeight="false" outlineLevel="0" collapsed="false">
      <c r="A141" s="0" t="s">
        <v>153</v>
      </c>
      <c r="B141" s="0" t="s">
        <v>212</v>
      </c>
      <c r="C141" s="0" t="n">
        <v>20.06</v>
      </c>
      <c r="D141" s="0" t="n">
        <v>3.41</v>
      </c>
      <c r="E141" s="0" t="n">
        <v>12.91</v>
      </c>
      <c r="F141" s="0" t="n">
        <v>1.49</v>
      </c>
      <c r="G141" s="0" t="n">
        <v>1.2</v>
      </c>
      <c r="H141" s="0" t="n">
        <v>28</v>
      </c>
      <c r="I141" s="0" t="n">
        <v>30</v>
      </c>
      <c r="J141" s="0" t="n">
        <v>28</v>
      </c>
      <c r="K141" s="0" t="n">
        <v>8</v>
      </c>
      <c r="L141" s="0" t="n">
        <v>27</v>
      </c>
      <c r="M141" s="0" t="n">
        <v>2.04</v>
      </c>
      <c r="N141" s="0" t="n">
        <v>15</v>
      </c>
    </row>
    <row r="142" customFormat="false" ht="15" hidden="false" customHeight="false" outlineLevel="0" collapsed="false">
      <c r="A142" s="0" t="s">
        <v>157</v>
      </c>
      <c r="B142" s="0" t="s">
        <v>212</v>
      </c>
      <c r="C142" s="0" t="n">
        <v>20.07</v>
      </c>
      <c r="D142" s="0" t="n">
        <v>3.84</v>
      </c>
      <c r="E142" s="0" t="n">
        <v>14.35</v>
      </c>
      <c r="F142" s="0" t="n">
        <v>1.34</v>
      </c>
      <c r="G142" s="0" t="n">
        <v>1.15</v>
      </c>
      <c r="H142" s="0" t="n">
        <v>27</v>
      </c>
      <c r="I142" s="0" t="n">
        <v>19</v>
      </c>
      <c r="J142" s="0" t="n">
        <v>18</v>
      </c>
      <c r="K142" s="0" t="n">
        <v>16</v>
      </c>
      <c r="L142" s="0" t="n">
        <v>29</v>
      </c>
      <c r="M142" s="0" t="n">
        <v>1.73</v>
      </c>
      <c r="N142" s="0" t="n">
        <v>24</v>
      </c>
    </row>
    <row r="143" customFormat="false" ht="15" hidden="false" customHeight="false" outlineLevel="0" collapsed="false">
      <c r="A143" s="0" t="s">
        <v>160</v>
      </c>
      <c r="B143" s="0" t="s">
        <v>212</v>
      </c>
      <c r="C143" s="0" t="n">
        <v>19.41</v>
      </c>
      <c r="D143" s="0" t="n">
        <v>3.88</v>
      </c>
      <c r="E143" s="0" t="n">
        <v>13.67</v>
      </c>
      <c r="F143" s="0" t="n">
        <v>0.87</v>
      </c>
      <c r="G143" s="0" t="n">
        <v>1.28</v>
      </c>
      <c r="H143" s="0" t="n">
        <v>30</v>
      </c>
      <c r="I143" s="0" t="n">
        <v>18</v>
      </c>
      <c r="J143" s="0" t="n">
        <v>24</v>
      </c>
      <c r="K143" s="0" t="n">
        <v>29</v>
      </c>
      <c r="L143" s="0" t="n">
        <v>22</v>
      </c>
      <c r="M143" s="0" t="n">
        <v>2.5</v>
      </c>
      <c r="N143" s="0" t="n">
        <v>5</v>
      </c>
    </row>
    <row r="144" customFormat="false" ht="15" hidden="false" customHeight="false" outlineLevel="0" collapsed="false">
      <c r="A144" s="0" t="s">
        <v>164</v>
      </c>
      <c r="B144" s="0" t="s">
        <v>212</v>
      </c>
      <c r="C144" s="0" t="n">
        <v>21.72</v>
      </c>
      <c r="D144" s="0" t="n">
        <v>4.05</v>
      </c>
      <c r="E144" s="0" t="n">
        <v>14.89</v>
      </c>
      <c r="F144" s="0" t="n">
        <v>1.46</v>
      </c>
      <c r="G144" s="0" t="n">
        <v>1.15</v>
      </c>
      <c r="H144" s="0" t="n">
        <v>17</v>
      </c>
      <c r="I144" s="0" t="n">
        <v>16</v>
      </c>
      <c r="J144" s="0" t="n">
        <v>10</v>
      </c>
      <c r="K144" s="0" t="n">
        <v>9</v>
      </c>
      <c r="L144" s="0" t="n">
        <v>29</v>
      </c>
      <c r="M144" s="0" t="n">
        <v>2.18</v>
      </c>
      <c r="N144" s="0" t="n">
        <v>9</v>
      </c>
    </row>
    <row r="145" customFormat="false" ht="15" hidden="false" customHeight="false" outlineLevel="0" collapsed="false">
      <c r="A145" s="0" t="s">
        <v>168</v>
      </c>
      <c r="B145" s="0" t="s">
        <v>212</v>
      </c>
      <c r="C145" s="0" t="n">
        <v>21</v>
      </c>
      <c r="D145" s="0" t="n">
        <v>4.22</v>
      </c>
      <c r="E145" s="0" t="n">
        <v>14.55</v>
      </c>
      <c r="F145" s="0" t="n">
        <v>1.34</v>
      </c>
      <c r="G145" s="0" t="n">
        <v>1.36</v>
      </c>
      <c r="H145" s="0" t="n">
        <v>21</v>
      </c>
      <c r="I145" s="0" t="n">
        <v>14</v>
      </c>
      <c r="J145" s="0" t="n">
        <v>14</v>
      </c>
      <c r="K145" s="0" t="n">
        <v>16</v>
      </c>
      <c r="L145" s="0" t="n">
        <v>17</v>
      </c>
      <c r="M145" s="0" t="n">
        <v>2.11</v>
      </c>
      <c r="N145" s="0" t="n">
        <v>14</v>
      </c>
    </row>
    <row r="146" customFormat="false" ht="15" hidden="false" customHeight="false" outlineLevel="0" collapsed="false">
      <c r="A146" s="0" t="s">
        <v>172</v>
      </c>
      <c r="B146" s="0" t="s">
        <v>212</v>
      </c>
      <c r="C146" s="0" t="n">
        <v>24.39</v>
      </c>
      <c r="D146" s="0" t="n">
        <v>4.44</v>
      </c>
      <c r="E146" s="0" t="n">
        <v>14.21</v>
      </c>
      <c r="F146" s="0" t="n">
        <v>1.72</v>
      </c>
      <c r="G146" s="0" t="n">
        <v>1.73</v>
      </c>
      <c r="H146" s="0" t="n">
        <v>4</v>
      </c>
      <c r="I146" s="0" t="n">
        <v>7</v>
      </c>
      <c r="J146" s="0" t="n">
        <v>19</v>
      </c>
      <c r="K146" s="0" t="n">
        <v>2</v>
      </c>
      <c r="L146" s="0" t="n">
        <v>4</v>
      </c>
      <c r="M146" s="0" t="n">
        <v>2.66</v>
      </c>
      <c r="N146" s="0" t="n">
        <v>2</v>
      </c>
    </row>
    <row r="147" customFormat="false" ht="15" hidden="false" customHeight="false" outlineLevel="0" collapsed="false">
      <c r="A147" s="0" t="s">
        <v>176</v>
      </c>
      <c r="B147" s="0" t="s">
        <v>212</v>
      </c>
      <c r="C147" s="0" t="n">
        <v>23.31</v>
      </c>
      <c r="D147" s="0" t="n">
        <v>4.24</v>
      </c>
      <c r="E147" s="0" t="n">
        <v>15.29</v>
      </c>
      <c r="F147" s="0" t="n">
        <v>1.21</v>
      </c>
      <c r="G147" s="0" t="n">
        <v>1.83</v>
      </c>
      <c r="H147" s="0" t="n">
        <v>8</v>
      </c>
      <c r="I147" s="0" t="n">
        <v>12</v>
      </c>
      <c r="J147" s="0" t="n">
        <v>5</v>
      </c>
      <c r="K147" s="0" t="n">
        <v>21</v>
      </c>
      <c r="L147" s="0" t="n">
        <v>1</v>
      </c>
      <c r="M147" s="0" t="n">
        <v>2.18</v>
      </c>
      <c r="N147" s="0" t="n">
        <v>9</v>
      </c>
    </row>
    <row r="148" customFormat="false" ht="15" hidden="false" customHeight="false" outlineLevel="0" collapsed="false">
      <c r="A148" s="0" t="s">
        <v>179</v>
      </c>
      <c r="B148" s="0" t="s">
        <v>212</v>
      </c>
      <c r="C148" s="0" t="n">
        <v>21.49</v>
      </c>
      <c r="D148" s="0" t="n">
        <v>4.83</v>
      </c>
      <c r="E148" s="0" t="n">
        <v>14.46</v>
      </c>
      <c r="F148" s="0" t="n">
        <v>1.43</v>
      </c>
      <c r="G148" s="0" t="n">
        <v>1.26</v>
      </c>
      <c r="H148" s="0" t="n">
        <v>18</v>
      </c>
      <c r="I148" s="0" t="n">
        <v>3</v>
      </c>
      <c r="J148" s="0" t="n">
        <v>15</v>
      </c>
      <c r="K148" s="0" t="n">
        <v>10</v>
      </c>
      <c r="L148" s="0" t="n">
        <v>23</v>
      </c>
      <c r="M148" s="0" t="n">
        <v>1.84</v>
      </c>
      <c r="N148" s="0" t="n">
        <v>22</v>
      </c>
    </row>
    <row r="149" customFormat="false" ht="15" hidden="false" customHeight="false" outlineLevel="0" collapsed="false">
      <c r="A149" s="0" t="s">
        <v>183</v>
      </c>
      <c r="B149" s="0" t="s">
        <v>212</v>
      </c>
      <c r="C149" s="0" t="n">
        <v>20.31</v>
      </c>
      <c r="D149" s="0" t="n">
        <v>3.42</v>
      </c>
      <c r="E149" s="0" t="n">
        <v>14.37</v>
      </c>
      <c r="F149" s="0" t="n">
        <v>1.13</v>
      </c>
      <c r="G149" s="0" t="n">
        <v>1.33</v>
      </c>
      <c r="H149" s="0" t="n">
        <v>26</v>
      </c>
      <c r="I149" s="0" t="n">
        <v>29</v>
      </c>
      <c r="J149" s="0" t="n">
        <v>17</v>
      </c>
      <c r="K149" s="0" t="n">
        <v>24</v>
      </c>
      <c r="L149" s="0" t="n">
        <v>20</v>
      </c>
      <c r="M149" s="0" t="n">
        <v>2.12</v>
      </c>
      <c r="N149" s="0" t="n">
        <v>13</v>
      </c>
    </row>
    <row r="150" customFormat="false" ht="15" hidden="false" customHeight="false" outlineLevel="0" collapsed="false">
      <c r="A150" s="0" t="s">
        <v>187</v>
      </c>
      <c r="B150" s="0" t="s">
        <v>212</v>
      </c>
      <c r="C150" s="0" t="n">
        <v>23.93</v>
      </c>
      <c r="D150" s="0" t="n">
        <v>4.28</v>
      </c>
      <c r="E150" s="0" t="n">
        <v>15.12</v>
      </c>
      <c r="F150" s="0" t="n">
        <v>1.57</v>
      </c>
      <c r="G150" s="0" t="n">
        <v>1.36</v>
      </c>
      <c r="H150" s="0" t="n">
        <v>5</v>
      </c>
      <c r="I150" s="0" t="n">
        <v>11</v>
      </c>
      <c r="J150" s="0" t="n">
        <v>8</v>
      </c>
      <c r="K150" s="0" t="n">
        <v>5</v>
      </c>
      <c r="L150" s="0" t="n">
        <v>17</v>
      </c>
      <c r="M150" s="0" t="n">
        <v>2.41</v>
      </c>
      <c r="N150" s="0" t="n">
        <v>6</v>
      </c>
    </row>
    <row r="151" customFormat="false" ht="15" hidden="false" customHeight="false" outlineLevel="0" collapsed="false">
      <c r="A151" s="0" t="s">
        <v>191</v>
      </c>
      <c r="B151" s="0" t="s">
        <v>212</v>
      </c>
      <c r="C151" s="0" t="n">
        <v>26.59</v>
      </c>
      <c r="D151" s="0" t="n">
        <v>4.41</v>
      </c>
      <c r="E151" s="0" t="n">
        <v>16.42</v>
      </c>
      <c r="F151" s="0" t="n">
        <v>1.56</v>
      </c>
      <c r="G151" s="0" t="n">
        <v>1.5</v>
      </c>
      <c r="H151" s="0" t="n">
        <v>1</v>
      </c>
      <c r="I151" s="0" t="n">
        <v>8</v>
      </c>
      <c r="J151" s="0" t="n">
        <v>1</v>
      </c>
      <c r="K151" s="0" t="n">
        <v>7</v>
      </c>
      <c r="L151" s="0" t="n">
        <v>12</v>
      </c>
      <c r="M151" s="0" t="n">
        <v>2.56</v>
      </c>
      <c r="N15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7" min="5" style="0" width="10"/>
    <col collapsed="false" customWidth="true" hidden="false" outlineLevel="0" max="10" min="8" style="0" width="11"/>
  </cols>
  <sheetData>
    <row r="1" customFormat="false" ht="28.35" hidden="false" customHeight="false" outlineLevel="0" collapsed="false">
      <c r="A1" s="5" t="s">
        <v>213</v>
      </c>
      <c r="B1" s="5" t="s">
        <v>214</v>
      </c>
      <c r="C1" s="5" t="s">
        <v>215</v>
      </c>
      <c r="D1" s="5" t="s">
        <v>216</v>
      </c>
      <c r="E1" s="5" t="s">
        <v>217</v>
      </c>
      <c r="F1" s="5" t="s">
        <v>218</v>
      </c>
      <c r="G1" s="5" t="s">
        <v>219</v>
      </c>
      <c r="H1" s="5" t="s">
        <v>220</v>
      </c>
      <c r="I1" s="5" t="s">
        <v>221</v>
      </c>
      <c r="J1" s="5" t="s">
        <v>222</v>
      </c>
    </row>
    <row r="2" customFormat="false" ht="15" hidden="false" customHeight="false" outlineLevel="0" collapsed="false">
      <c r="A2" s="0" t="str">
        <f aca="false">B2&amp;"|"&amp;C2</f>
        <v>Atlanta Hawks|PG</v>
      </c>
      <c r="B2" s="0" t="str">
        <f aca="false">DvP!A2</f>
        <v>Atlanta Hawks</v>
      </c>
      <c r="C2" s="0" t="str">
        <f aca="false">DvP!B2</f>
        <v>PG</v>
      </c>
      <c r="D2" s="7" t="n">
        <f aca="false">INDEX(Equipos!$C$2:$C$31,MATCH(B2,Equipos!$A$2:$A$31,0))</f>
        <v>0.738</v>
      </c>
      <c r="E2" s="13" t="n">
        <f aca="false">(DvP!C2-AVERAGEIFS(DvP!$C$2:$C$151,DvP!$B$2:$B$151,C2))/AVERAGEIFS(DvP!$C$2:$C$151,DvP!$B$2:$B$151,C2)</f>
        <v>0.00988189925283195</v>
      </c>
      <c r="F2" s="13" t="n">
        <f aca="false">(DvP!E2-AVERAGEIFS(DvP!$E$2:$E$151,DvP!$B$2:$B$151,C2))/AVERAGEIFS(DvP!$E$2:$E$151,DvP!$B$2:$B$151,C2)</f>
        <v>-0.04204107830552</v>
      </c>
      <c r="G2" s="13" t="n">
        <f aca="false">(DvP!D2-AVERAGEIFS(DvP!$D$2:$D$151,DvP!$B$2:$B$151,C2))/AVERAGEIFS(DvP!$D$2:$D$151,DvP!$B$2:$B$151,C2)</f>
        <v>0.0471409522315477</v>
      </c>
      <c r="H2" s="7" t="n">
        <f aca="false">1+MAX(-Parametros!$B$5,MIN(Parametros!$B$5,D2*Parametros!$B$2*E2))</f>
        <v>1.00510498915401</v>
      </c>
      <c r="I2" s="7" t="n">
        <f aca="false">1+MAX(-Parametros!$B$5,MIN(Parametros!$B$5,D2*Parametros!$B$3*F2))</f>
        <v>0.981384210526316</v>
      </c>
      <c r="J2" s="7" t="n">
        <f aca="false">1+MAX(-Parametros!$B$5,MIN(Parametros!$B$5,D2*Parametros!$B$4*G2))</f>
        <v>1.01739501137344</v>
      </c>
    </row>
    <row r="3" customFormat="false" ht="15" hidden="false" customHeight="false" outlineLevel="0" collapsed="false">
      <c r="A3" s="0" t="str">
        <f aca="false">B3&amp;"|"&amp;C3</f>
        <v>Brooklyn Nets|PG</v>
      </c>
      <c r="B3" s="0" t="str">
        <f aca="false">DvP!A3</f>
        <v>Brooklyn Nets</v>
      </c>
      <c r="C3" s="0" t="str">
        <f aca="false">DvP!B3</f>
        <v>PG</v>
      </c>
      <c r="D3" s="7" t="n">
        <f aca="false">INDEX(Equipos!$C$2:$C$31,MATCH(B3,Equipos!$A$2:$A$31,0))</f>
        <v>0.822</v>
      </c>
      <c r="E3" s="13" t="n">
        <f aca="false">(DvP!C3-AVERAGEIFS(DvP!$C$2:$C$151,DvP!$B$2:$B$151,C3))/AVERAGEIFS(DvP!$C$2:$C$151,DvP!$B$2:$B$151,C3)</f>
        <v>-0.0387241905680084</v>
      </c>
      <c r="F3" s="13" t="n">
        <f aca="false">(DvP!E3-AVERAGEIFS(DvP!$E$2:$E$151,DvP!$B$2:$B$151,C3))/AVERAGEIFS(DvP!$E$2:$E$151,DvP!$B$2:$B$151,C3)</f>
        <v>0.0413992297817715</v>
      </c>
      <c r="G3" s="13" t="n">
        <f aca="false">(DvP!D3-AVERAGEIFS(DvP!$D$2:$D$151,DvP!$B$2:$B$151,C3))/AVERAGEIFS(DvP!$D$2:$D$151,DvP!$B$2:$B$151,C3)</f>
        <v>0.0600831437759825</v>
      </c>
      <c r="H3" s="7" t="n">
        <f aca="false">1+MAX(-Parametros!$B$5,MIN(Parametros!$B$5,D3*Parametros!$B$2*E3))</f>
        <v>0.977718100747168</v>
      </c>
      <c r="I3" s="7" t="n">
        <f aca="false">1+MAX(-Parametros!$B$5,MIN(Parametros!$B$5,D3*Parametros!$B$3*F3))</f>
        <v>1.02041810012837</v>
      </c>
      <c r="J3" s="7" t="n">
        <f aca="false">1+MAX(-Parametros!$B$5,MIN(Parametros!$B$5,D3*Parametros!$B$4*G3))</f>
        <v>1.02469417209193</v>
      </c>
    </row>
    <row r="4" customFormat="false" ht="15" hidden="false" customHeight="false" outlineLevel="0" collapsed="false">
      <c r="A4" s="0" t="str">
        <f aca="false">B4&amp;"|"&amp;C4</f>
        <v>Boston Celtics|PG</v>
      </c>
      <c r="B4" s="0" t="str">
        <f aca="false">DvP!A4</f>
        <v>Boston Celtics</v>
      </c>
      <c r="C4" s="0" t="str">
        <f aca="false">DvP!B4</f>
        <v>PG</v>
      </c>
      <c r="D4" s="7" t="n">
        <f aca="false">INDEX(Equipos!$C$2:$C$31,MATCH(B4,Equipos!$A$2:$A$31,0))</f>
        <v>0.753</v>
      </c>
      <c r="E4" s="13" t="n">
        <f aca="false">(DvP!C4-AVERAGEIFS(DvP!$C$2:$C$151,DvP!$B$2:$B$151,C4))/AVERAGEIFS(DvP!$C$2:$C$151,DvP!$B$2:$B$151,C4)</f>
        <v>-0.0262713906965535</v>
      </c>
      <c r="F4" s="13" t="n">
        <f aca="false">(DvP!E4-AVERAGEIFS(DvP!$E$2:$E$151,DvP!$B$2:$B$151,C4))/AVERAGEIFS(DvP!$E$2:$E$151,DvP!$B$2:$B$151,C4)</f>
        <v>-0.0789473684210526</v>
      </c>
      <c r="G4" s="13" t="n">
        <f aca="false">(DvP!D4-AVERAGEIFS(DvP!$D$2:$D$151,DvP!$B$2:$B$151,C4))/AVERAGEIFS(DvP!$D$2:$D$151,DvP!$B$2:$B$151,C4)</f>
        <v>0.00125500039218769</v>
      </c>
      <c r="H4" s="7" t="n">
        <f aca="false">1+MAX(-Parametros!$B$5,MIN(Parametros!$B$5,D4*Parametros!$B$2*E4))</f>
        <v>0.986152349963847</v>
      </c>
      <c r="I4" s="7" t="n">
        <f aca="false">1+MAX(-Parametros!$B$5,MIN(Parametros!$B$5,D4*Parametros!$B$3*F4))</f>
        <v>0.964331578947368</v>
      </c>
      <c r="J4" s="7" t="n">
        <f aca="false">1+MAX(-Parametros!$B$5,MIN(Parametros!$B$5,D4*Parametros!$B$4*G4))</f>
        <v>1.00047250764766</v>
      </c>
    </row>
    <row r="5" customFormat="false" ht="15" hidden="false" customHeight="false" outlineLevel="0" collapsed="false">
      <c r="A5" s="0" t="str">
        <f aca="false">B5&amp;"|"&amp;C5</f>
        <v>Charlotte Hornets|PG</v>
      </c>
      <c r="B5" s="0" t="str">
        <f aca="false">DvP!A5</f>
        <v>Charlotte Hornets</v>
      </c>
      <c r="C5" s="0" t="str">
        <f aca="false">DvP!B5</f>
        <v>PG</v>
      </c>
      <c r="D5" s="7" t="n">
        <f aca="false">INDEX(Equipos!$C$2:$C$31,MATCH(B5,Equipos!$A$2:$A$31,0))</f>
        <v>0.628</v>
      </c>
      <c r="E5" s="13" t="n">
        <f aca="false">(DvP!C5-AVERAGEIFS(DvP!$C$2:$C$151,DvP!$B$2:$B$151,C5))/AVERAGEIFS(DvP!$C$2:$C$151,DvP!$B$2:$B$151,C5)</f>
        <v>-0.0278782035831928</v>
      </c>
      <c r="F5" s="13" t="n">
        <f aca="false">(DvP!E5-AVERAGEIFS(DvP!$E$2:$E$151,DvP!$B$2:$B$151,C5))/AVERAGEIFS(DvP!$E$2:$E$151,DvP!$B$2:$B$151,C5)</f>
        <v>-0.0853658536585366</v>
      </c>
      <c r="G5" s="13" t="n">
        <f aca="false">(DvP!D5-AVERAGEIFS(DvP!$D$2:$D$151,DvP!$B$2:$B$151,C5))/AVERAGEIFS(DvP!$D$2:$D$151,DvP!$B$2:$B$151,C5)</f>
        <v>-0.0552200172562554</v>
      </c>
      <c r="H5" s="7" t="n">
        <f aca="false">1+MAX(-Parametros!$B$5,MIN(Parametros!$B$5,D5*Parametros!$B$2*E5))</f>
        <v>0.987744741704828</v>
      </c>
      <c r="I5" s="7" t="n">
        <f aca="false">1+MAX(-Parametros!$B$5,MIN(Parametros!$B$5,D5*Parametros!$B$3*F5))</f>
        <v>0.967834146341463</v>
      </c>
      <c r="J5" s="7" t="n">
        <f aca="false">1+MAX(-Parametros!$B$5,MIN(Parametros!$B$5,D5*Parametros!$B$4*G5))</f>
        <v>0.982660914581536</v>
      </c>
    </row>
    <row r="6" customFormat="false" ht="15" hidden="false" customHeight="false" outlineLevel="0" collapsed="false">
      <c r="A6" s="0" t="str">
        <f aca="false">B6&amp;"|"&amp;C6</f>
        <v>Chicago Bulls|PG</v>
      </c>
      <c r="B6" s="0" t="str">
        <f aca="false">DvP!A6</f>
        <v>Chicago Bulls</v>
      </c>
      <c r="C6" s="0" t="str">
        <f aca="false">DvP!B6</f>
        <v>PG</v>
      </c>
      <c r="D6" s="7" t="n">
        <f aca="false">INDEX(Equipos!$C$2:$C$31,MATCH(B6,Equipos!$A$2:$A$31,0))</f>
        <v>0.627</v>
      </c>
      <c r="E6" s="13" t="n">
        <f aca="false">(DvP!C6-AVERAGEIFS(DvP!$C$2:$C$151,DvP!$B$2:$B$151,C6))/AVERAGEIFS(DvP!$C$2:$C$151,DvP!$B$2:$B$151,C6)</f>
        <v>-0.022656061701615</v>
      </c>
      <c r="F6" s="13" t="n">
        <f aca="false">(DvP!E6-AVERAGEIFS(DvP!$E$2:$E$151,DvP!$B$2:$B$151,C6))/AVERAGEIFS(DvP!$E$2:$E$151,DvP!$B$2:$B$151,C6)</f>
        <v>-0.0131578947368421</v>
      </c>
      <c r="G6" s="13" t="n">
        <f aca="false">(DvP!D6-AVERAGEIFS(DvP!$D$2:$D$151,DvP!$B$2:$B$151,C6))/AVERAGEIFS(DvP!$D$2:$D$151,DvP!$B$2:$B$151,C6)</f>
        <v>0.128323790101185</v>
      </c>
      <c r="H6" s="7" t="n">
        <f aca="false">1+MAX(-Parametros!$B$5,MIN(Parametros!$B$5,D6*Parametros!$B$2*E6))</f>
        <v>0.990056254519161</v>
      </c>
      <c r="I6" s="7" t="n">
        <f aca="false">1+MAX(-Parametros!$B$5,MIN(Parametros!$B$5,D6*Parametros!$B$3*F6))</f>
        <v>0.99505</v>
      </c>
      <c r="J6" s="7" t="n">
        <f aca="false">1+MAX(-Parametros!$B$5,MIN(Parametros!$B$5,D6*Parametros!$B$4*G6))</f>
        <v>1.04022950819672</v>
      </c>
    </row>
    <row r="7" customFormat="false" ht="15" hidden="false" customHeight="false" outlineLevel="0" collapsed="false">
      <c r="A7" s="0" t="str">
        <f aca="false">B7&amp;"|"&amp;C7</f>
        <v>Cleveland Cavaliers|PG</v>
      </c>
      <c r="B7" s="0" t="str">
        <f aca="false">DvP!A7</f>
        <v>Cleveland Cavaliers</v>
      </c>
      <c r="C7" s="0" t="str">
        <f aca="false">DvP!B7</f>
        <v>PG</v>
      </c>
      <c r="D7" s="7" t="n">
        <f aca="false">INDEX(Equipos!$C$2:$C$31,MATCH(B7,Equipos!$A$2:$A$31,0))</f>
        <v>0.73</v>
      </c>
      <c r="E7" s="13" t="n">
        <f aca="false">(DvP!C7-AVERAGEIFS(DvP!$C$2:$C$151,DvP!$B$2:$B$151,C7))/AVERAGEIFS(DvP!$C$2:$C$151,DvP!$B$2:$B$151,C7)</f>
        <v>-0.0403310034546478</v>
      </c>
      <c r="F7" s="13" t="n">
        <f aca="false">(DvP!E7-AVERAGEIFS(DvP!$E$2:$E$151,DvP!$B$2:$B$151,C7))/AVERAGEIFS(DvP!$E$2:$E$151,DvP!$B$2:$B$151,C7)</f>
        <v>-0.0805519897304236</v>
      </c>
      <c r="G7" s="13" t="n">
        <f aca="false">(DvP!D7-AVERAGEIFS(DvP!$D$2:$D$151,DvP!$B$2:$B$151,C7))/AVERAGEIFS(DvP!$D$2:$D$151,DvP!$B$2:$B$151,C7)</f>
        <v>0.0259628206133816</v>
      </c>
      <c r="H7" s="7" t="n">
        <f aca="false">1+MAX(-Parametros!$B$5,MIN(Parametros!$B$5,D7*Parametros!$B$2*E7))</f>
        <v>0.979390857234675</v>
      </c>
      <c r="I7" s="7" t="n">
        <f aca="false">1+MAX(-Parametros!$B$5,MIN(Parametros!$B$5,D7*Parametros!$B$3*F7))</f>
        <v>0.964718228498074</v>
      </c>
      <c r="J7" s="7" t="n">
        <f aca="false">1+MAX(-Parametros!$B$5,MIN(Parametros!$B$5,D7*Parametros!$B$4*G7))</f>
        <v>1.00947642952388</v>
      </c>
    </row>
    <row r="8" customFormat="false" ht="15" hidden="false" customHeight="false" outlineLevel="0" collapsed="false">
      <c r="A8" s="0" t="str">
        <f aca="false">B8&amp;"|"&amp;C8</f>
        <v>Dallas Mavericks|PG</v>
      </c>
      <c r="B8" s="0" t="str">
        <f aca="false">DvP!A8</f>
        <v>Dallas Mavericks</v>
      </c>
      <c r="C8" s="0" t="str">
        <f aca="false">DvP!B8</f>
        <v>PG</v>
      </c>
      <c r="D8" s="7" t="n">
        <f aca="false">INDEX(Equipos!$C$2:$C$31,MATCH(B8,Equipos!$A$2:$A$31,0))</f>
        <v>0.726</v>
      </c>
      <c r="E8" s="13" t="n">
        <f aca="false">(DvP!C8-AVERAGEIFS(DvP!$C$2:$C$151,DvP!$B$2:$B$151,C8))/AVERAGEIFS(DvP!$C$2:$C$151,DvP!$B$2:$B$151,C8)</f>
        <v>0.0528641439704346</v>
      </c>
      <c r="F8" s="13" t="n">
        <f aca="false">(DvP!E8-AVERAGEIFS(DvP!$E$2:$E$151,DvP!$B$2:$B$151,C8))/AVERAGEIFS(DvP!$E$2:$E$151,DvP!$B$2:$B$151,C8)</f>
        <v>0.139281129653402</v>
      </c>
      <c r="G8" s="13" t="n">
        <f aca="false">(DvP!D8-AVERAGEIFS(DvP!$D$2:$D$151,DvP!$B$2:$B$151,C8))/AVERAGEIFS(DvP!$D$2:$D$151,DvP!$B$2:$B$151,C8)</f>
        <v>0.0800847125264727</v>
      </c>
      <c r="H8" s="7" t="n">
        <f aca="false">1+MAX(-Parametros!$B$5,MIN(Parametros!$B$5,D8*Parametros!$B$2*E8))</f>
        <v>1.02686555796577</v>
      </c>
      <c r="I8" s="7" t="n">
        <f aca="false">1+MAX(-Parametros!$B$5,MIN(Parametros!$B$5,D8*Parametros!$B$3*F8))</f>
        <v>1.06067086007702</v>
      </c>
      <c r="J8" s="7" t="n">
        <f aca="false">1+MAX(-Parametros!$B$5,MIN(Parametros!$B$5,D8*Parametros!$B$4*G8))</f>
        <v>1.02907075064711</v>
      </c>
    </row>
    <row r="9" customFormat="false" ht="15" hidden="false" customHeight="false" outlineLevel="0" collapsed="false">
      <c r="A9" s="0" t="str">
        <f aca="false">B9&amp;"|"&amp;C9</f>
        <v>Denver Nuggets|PG</v>
      </c>
      <c r="B9" s="0" t="str">
        <f aca="false">DvP!A9</f>
        <v>Denver Nuggets</v>
      </c>
      <c r="C9" s="0" t="str">
        <f aca="false">DvP!B9</f>
        <v>PG</v>
      </c>
      <c r="D9" s="7" t="n">
        <f aca="false">INDEX(Equipos!$C$2:$C$31,MATCH(B9,Equipos!$A$2:$A$31,0))</f>
        <v>0.806</v>
      </c>
      <c r="E9" s="13" t="n">
        <f aca="false">(DvP!C9-AVERAGEIFS(DvP!$C$2:$C$151,DvP!$B$2:$B$151,C9))/AVERAGEIFS(DvP!$C$2:$C$151,DvP!$B$2:$B$151,C9)</f>
        <v>-0.0451514421145659</v>
      </c>
      <c r="F9" s="13" t="n">
        <f aca="false">(DvP!E9-AVERAGEIFS(DvP!$E$2:$E$151,DvP!$B$2:$B$151,C9))/AVERAGEIFS(DvP!$E$2:$E$151,DvP!$B$2:$B$151,C9)</f>
        <v>0.0189345314505776</v>
      </c>
      <c r="G9" s="13" t="n">
        <f aca="false">(DvP!D9-AVERAGEIFS(DvP!$D$2:$D$151,DvP!$B$2:$B$151,C9))/AVERAGEIFS(DvP!$D$2:$D$151,DvP!$B$2:$B$151,C9)</f>
        <v>0.0247862577457057</v>
      </c>
      <c r="H9" s="7" t="n">
        <f aca="false">1+MAX(-Parametros!$B$5,MIN(Parametros!$B$5,D9*Parametros!$B$2*E9))</f>
        <v>0.974525556358962</v>
      </c>
      <c r="I9" s="7" t="n">
        <f aca="false">1+MAX(-Parametros!$B$5,MIN(Parametros!$B$5,D9*Parametros!$B$3*F9))</f>
        <v>1.0091567394095</v>
      </c>
      <c r="J9" s="7" t="n">
        <f aca="false">1+MAX(-Parametros!$B$5,MIN(Parametros!$B$5,D9*Parametros!$B$4*G9))</f>
        <v>1.00998886187152</v>
      </c>
    </row>
    <row r="10" customFormat="false" ht="15" hidden="false" customHeight="false" outlineLevel="0" collapsed="false">
      <c r="A10" s="0" t="str">
        <f aca="false">B10&amp;"|"&amp;C10</f>
        <v>Detroit Pistons|PG</v>
      </c>
      <c r="B10" s="0" t="str">
        <f aca="false">DvP!A10</f>
        <v>Detroit Pistons</v>
      </c>
      <c r="C10" s="0" t="str">
        <f aca="false">DvP!B10</f>
        <v>PG</v>
      </c>
      <c r="D10" s="7" t="n">
        <f aca="false">INDEX(Equipos!$C$2:$C$31,MATCH(B10,Equipos!$A$2:$A$31,0))</f>
        <v>0.704</v>
      </c>
      <c r="E10" s="13" t="n">
        <f aca="false">(DvP!C10-AVERAGEIFS(DvP!$C$2:$C$151,DvP!$B$2:$B$151,C10))/AVERAGEIFS(DvP!$C$2:$C$151,DvP!$B$2:$B$151,C10)</f>
        <v>-0.0849200610588897</v>
      </c>
      <c r="F10" s="13" t="n">
        <f aca="false">(DvP!E10-AVERAGEIFS(DvP!$E$2:$E$151,DvP!$B$2:$B$151,C10))/AVERAGEIFS(DvP!$E$2:$E$151,DvP!$B$2:$B$151,C10)</f>
        <v>-0.0693196405648268</v>
      </c>
      <c r="G10" s="13" t="n">
        <f aca="false">(DvP!D10-AVERAGEIFS(DvP!$D$2:$D$151,DvP!$B$2:$B$151,C10))/AVERAGEIFS(DvP!$D$2:$D$151,DvP!$B$2:$B$151,C10)</f>
        <v>-0.137579417993568</v>
      </c>
      <c r="H10" s="7" t="n">
        <f aca="false">1+MAX(-Parametros!$B$5,MIN(Parametros!$B$5,D10*Parametros!$B$2*E10))</f>
        <v>0.958151393910179</v>
      </c>
      <c r="I10" s="7" t="n">
        <f aca="false">1+MAX(-Parametros!$B$5,MIN(Parametros!$B$5,D10*Parametros!$B$3*F10))</f>
        <v>0.970719383825417</v>
      </c>
      <c r="J10" s="7" t="n">
        <f aca="false">1+MAX(-Parametros!$B$5,MIN(Parametros!$B$5,D10*Parametros!$B$4*G10))</f>
        <v>0.951572044866264</v>
      </c>
    </row>
    <row r="11" customFormat="false" ht="15" hidden="false" customHeight="false" outlineLevel="0" collapsed="false">
      <c r="A11" s="0" t="str">
        <f aca="false">B11&amp;"|"&amp;C11</f>
        <v>Golden State Warriors|PG</v>
      </c>
      <c r="B11" s="0" t="str">
        <f aca="false">DvP!A11</f>
        <v>Golden State Warriors</v>
      </c>
      <c r="C11" s="0" t="str">
        <f aca="false">DvP!B11</f>
        <v>PG</v>
      </c>
      <c r="D11" s="7" t="n">
        <f aca="false">INDEX(Equipos!$C$2:$C$31,MATCH(B11,Equipos!$A$2:$A$31,0))</f>
        <v>0.893</v>
      </c>
      <c r="E11" s="13" t="n">
        <f aca="false">(DvP!C11-AVERAGEIFS(DvP!$C$2:$C$151,DvP!$B$2:$B$151,C11))/AVERAGEIFS(DvP!$C$2:$C$151,DvP!$B$2:$B$151,C11)</f>
        <v>0.0500522214188157</v>
      </c>
      <c r="F11" s="13" t="n">
        <f aca="false">(DvP!E11-AVERAGEIFS(DvP!$E$2:$E$151,DvP!$B$2:$B$151,C11))/AVERAGEIFS(DvP!$E$2:$E$151,DvP!$B$2:$B$151,C11)</f>
        <v>-0.0404364569961489</v>
      </c>
      <c r="G11" s="13" t="n">
        <f aca="false">(DvP!D11-AVERAGEIFS(DvP!$D$2:$D$151,DvP!$B$2:$B$151,C11))/AVERAGEIFS(DvP!$D$2:$D$151,DvP!$B$2:$B$151,C11)</f>
        <v>-0.0681622088006902</v>
      </c>
      <c r="H11" s="7" t="n">
        <f aca="false">1+MAX(-Parametros!$B$5,MIN(Parametros!$B$5,D11*Parametros!$B$2*E11))</f>
        <v>1.0312876436089</v>
      </c>
      <c r="I11" s="7" t="n">
        <f aca="false">1+MAX(-Parametros!$B$5,MIN(Parametros!$B$5,D11*Parametros!$B$3*F11))</f>
        <v>0.978334146341463</v>
      </c>
      <c r="J11" s="7" t="n">
        <f aca="false">1+MAX(-Parametros!$B$5,MIN(Parametros!$B$5,D11*Parametros!$B$4*G11))</f>
        <v>0.969565573770492</v>
      </c>
    </row>
    <row r="12" customFormat="false" ht="15" hidden="false" customHeight="false" outlineLevel="0" collapsed="false">
      <c r="A12" s="0" t="str">
        <f aca="false">B12&amp;"|"&amp;C12</f>
        <v>Houston Rockets|PG</v>
      </c>
      <c r="B12" s="0" t="str">
        <f aca="false">DvP!A12</f>
        <v>Houston Rockets</v>
      </c>
      <c r="C12" s="0" t="str">
        <f aca="false">DvP!B12</f>
        <v>PG</v>
      </c>
      <c r="D12" s="7" t="n">
        <f aca="false">INDEX(Equipos!$C$2:$C$31,MATCH(B12,Equipos!$A$2:$A$31,0))</f>
        <v>0.861</v>
      </c>
      <c r="E12" s="13" t="n">
        <f aca="false">(DvP!C12-AVERAGEIFS(DvP!$C$2:$C$151,DvP!$B$2:$B$151,C12))/AVERAGEIFS(DvP!$C$2:$C$151,DvP!$B$2:$B$151,C12)</f>
        <v>-0.0455531453362256</v>
      </c>
      <c r="F12" s="13" t="n">
        <f aca="false">(DvP!E12-AVERAGEIFS(DvP!$E$2:$E$151,DvP!$B$2:$B$151,C12))/AVERAGEIFS(DvP!$E$2:$E$151,DvP!$B$2:$B$151,C12)</f>
        <v>-0.0821566110397947</v>
      </c>
      <c r="G12" s="13" t="n">
        <f aca="false">(DvP!D12-AVERAGEIFS(DvP!$D$2:$D$151,DvP!$B$2:$B$151,C12))/AVERAGEIFS(DvP!$D$2:$D$151,DvP!$B$2:$B$151,C12)</f>
        <v>-0.109341909169347</v>
      </c>
      <c r="H12" s="7" t="n">
        <f aca="false">1+MAX(-Parametros!$B$5,MIN(Parametros!$B$5,D12*Parametros!$B$2*E12))</f>
        <v>0.972545119305857</v>
      </c>
      <c r="I12" s="7" t="n">
        <f aca="false">1+MAX(-Parametros!$B$5,MIN(Parametros!$B$5,D12*Parametros!$B$3*F12))</f>
        <v>0.957557894736842</v>
      </c>
      <c r="J12" s="7" t="n">
        <f aca="false">1+MAX(-Parametros!$B$5,MIN(Parametros!$B$5,D12*Parametros!$B$4*G12))</f>
        <v>0.952928308102596</v>
      </c>
    </row>
    <row r="13" customFormat="false" ht="15" hidden="false" customHeight="false" outlineLevel="0" collapsed="false">
      <c r="A13" s="0" t="str">
        <f aca="false">B13&amp;"|"&amp;C13</f>
        <v>Indiana Pacers|PG</v>
      </c>
      <c r="B13" s="0" t="str">
        <f aca="false">DvP!A13</f>
        <v>Indiana Pacers</v>
      </c>
      <c r="C13" s="0" t="str">
        <f aca="false">DvP!B13</f>
        <v>PG</v>
      </c>
      <c r="D13" s="7" t="n">
        <f aca="false">INDEX(Equipos!$C$2:$C$31,MATCH(B13,Equipos!$A$2:$A$31,0))</f>
        <v>0.819</v>
      </c>
      <c r="E13" s="13" t="n">
        <f aca="false">(DvP!C13-AVERAGEIFS(DvP!$C$2:$C$151,DvP!$B$2:$B$151,C13))/AVERAGEIFS(DvP!$C$2:$C$151,DvP!$B$2:$B$151,C13)</f>
        <v>0.0556760665220535</v>
      </c>
      <c r="F13" s="13" t="n">
        <f aca="false">(DvP!E13-AVERAGEIFS(DvP!$E$2:$E$151,DvP!$B$2:$B$151,C13))/AVERAGEIFS(DvP!$E$2:$E$151,DvP!$B$2:$B$151,C13)</f>
        <v>0.128048780487805</v>
      </c>
      <c r="G13" s="13" t="n">
        <f aca="false">(DvP!D13-AVERAGEIFS(DvP!$D$2:$D$151,DvP!$B$2:$B$151,C13))/AVERAGEIFS(DvP!$D$2:$D$151,DvP!$B$2:$B$151,C13)</f>
        <v>0.0271393834810575</v>
      </c>
      <c r="H13" s="7" t="n">
        <f aca="false">1+MAX(-Parametros!$B$5,MIN(Parametros!$B$5,D13*Parametros!$B$2*E13))</f>
        <v>1.03191908893709</v>
      </c>
      <c r="I13" s="7" t="n">
        <f aca="false">1+MAX(-Parametros!$B$5,MIN(Parametros!$B$5,D13*Parametros!$B$3*F13))</f>
        <v>1.06292317073171</v>
      </c>
      <c r="J13" s="7" t="n">
        <f aca="false">1+MAX(-Parametros!$B$5,MIN(Parametros!$B$5,D13*Parametros!$B$4*G13))</f>
        <v>1.01111357753549</v>
      </c>
    </row>
    <row r="14" customFormat="false" ht="15" hidden="false" customHeight="false" outlineLevel="0" collapsed="false">
      <c r="A14" s="0" t="str">
        <f aca="false">B14&amp;"|"&amp;C14</f>
        <v>Los Angeles Clippers|PG</v>
      </c>
      <c r="B14" s="0" t="str">
        <f aca="false">DvP!A14</f>
        <v>Los Angeles Clippers</v>
      </c>
      <c r="C14" s="0" t="str">
        <f aca="false">DvP!B14</f>
        <v>PG</v>
      </c>
      <c r="D14" s="7" t="n">
        <f aca="false">INDEX(Equipos!$C$2:$C$31,MATCH(B14,Equipos!$A$2:$A$31,0))</f>
        <v>0.63</v>
      </c>
      <c r="E14" s="13" t="n">
        <f aca="false">(DvP!C14-AVERAGEIFS(DvP!$C$2:$C$151,DvP!$B$2:$B$151,C14))/AVERAGEIFS(DvP!$C$2:$C$151,DvP!$B$2:$B$151,C14)</f>
        <v>-0.0258696874748936</v>
      </c>
      <c r="F14" s="13" t="n">
        <f aca="false">(DvP!E14-AVERAGEIFS(DvP!$E$2:$E$151,DvP!$B$2:$B$151,C14))/AVERAGEIFS(DvP!$E$2:$E$151,DvP!$B$2:$B$151,C14)</f>
        <v>0.0799101412066753</v>
      </c>
      <c r="G14" s="13" t="n">
        <f aca="false">(DvP!D14-AVERAGEIFS(DvP!$D$2:$D$151,DvP!$B$2:$B$151,C14))/AVERAGEIFS(DvP!$D$2:$D$151,DvP!$B$2:$B$151,C14)</f>
        <v>0.0236096948780297</v>
      </c>
      <c r="H14" s="7" t="n">
        <f aca="false">1+MAX(-Parametros!$B$5,MIN(Parametros!$B$5,D14*Parametros!$B$2*E14))</f>
        <v>0.988591467823572</v>
      </c>
      <c r="I14" s="7" t="n">
        <f aca="false">1+MAX(-Parametros!$B$5,MIN(Parametros!$B$5,D14*Parametros!$B$3*F14))</f>
        <v>1.03020603337612</v>
      </c>
      <c r="J14" s="7" t="n">
        <f aca="false">1+MAX(-Parametros!$B$5,MIN(Parametros!$B$5,D14*Parametros!$B$4*G14))</f>
        <v>1.00743705388658</v>
      </c>
    </row>
    <row r="15" customFormat="false" ht="15" hidden="false" customHeight="false" outlineLevel="0" collapsed="false">
      <c r="A15" s="0" t="str">
        <f aca="false">B15&amp;"|"&amp;C15</f>
        <v>Los Angeles Lakers|PG</v>
      </c>
      <c r="B15" s="0" t="str">
        <f aca="false">DvP!A15</f>
        <v>Los Angeles Lakers</v>
      </c>
      <c r="C15" s="0" t="str">
        <f aca="false">DvP!B15</f>
        <v>PG</v>
      </c>
      <c r="D15" s="7" t="n">
        <f aca="false">INDEX(Equipos!$C$2:$C$31,MATCH(B15,Equipos!$A$2:$A$31,0))</f>
        <v>0.453</v>
      </c>
      <c r="E15" s="13" t="n">
        <f aca="false">(DvP!C15-AVERAGEIFS(DvP!$C$2:$C$151,DvP!$B$2:$B$151,C15))/AVERAGEIFS(DvP!$C$2:$C$151,DvP!$B$2:$B$151,C15)</f>
        <v>-0.0242628745882543</v>
      </c>
      <c r="F15" s="13" t="n">
        <f aca="false">(DvP!E15-AVERAGEIFS(DvP!$E$2:$E$151,DvP!$B$2:$B$151,C15))/AVERAGEIFS(DvP!$E$2:$E$151,DvP!$B$2:$B$151,C15)</f>
        <v>-0.0965982028241336</v>
      </c>
      <c r="G15" s="13" t="n">
        <f aca="false">(DvP!D15-AVERAGEIFS(DvP!$D$2:$D$151,DvP!$B$2:$B$151,C15))/AVERAGEIFS(DvP!$D$2:$D$151,DvP!$B$2:$B$151,C15)</f>
        <v>0.0694956467173897</v>
      </c>
      <c r="H15" s="7" t="n">
        <f aca="false">1+MAX(-Parametros!$B$5,MIN(Parametros!$B$5,D15*Parametros!$B$2*E15))</f>
        <v>0.992306242468065</v>
      </c>
      <c r="I15" s="7" t="n">
        <f aca="false">1+MAX(-Parametros!$B$5,MIN(Parametros!$B$5,D15*Parametros!$B$3*F15))</f>
        <v>0.973744608472401</v>
      </c>
      <c r="J15" s="7" t="n">
        <f aca="false">1+MAX(-Parametros!$B$5,MIN(Parametros!$B$5,D15*Parametros!$B$4*G15))</f>
        <v>1.01574076398149</v>
      </c>
    </row>
    <row r="16" customFormat="false" ht="15" hidden="false" customHeight="false" outlineLevel="0" collapsed="false">
      <c r="A16" s="0" t="str">
        <f aca="false">B16&amp;"|"&amp;C16</f>
        <v>Memphis Grizzlies|PG</v>
      </c>
      <c r="B16" s="0" t="str">
        <f aca="false">DvP!A16</f>
        <v>Memphis Grizzlies</v>
      </c>
      <c r="C16" s="0" t="str">
        <f aca="false">DvP!B16</f>
        <v>PG</v>
      </c>
      <c r="D16" s="7" t="n">
        <f aca="false">INDEX(Equipos!$C$2:$C$31,MATCH(B16,Equipos!$A$2:$A$31,0))</f>
        <v>0.738</v>
      </c>
      <c r="E16" s="13" t="n">
        <f aca="false">(DvP!C16-AVERAGEIFS(DvP!$C$2:$C$151,DvP!$B$2:$B$151,C16))/AVERAGEIFS(DvP!$C$2:$C$151,DvP!$B$2:$B$151,C16)</f>
        <v>0.0187193701293483</v>
      </c>
      <c r="F16" s="13" t="n">
        <f aca="false">(DvP!E16-AVERAGEIFS(DvP!$E$2:$E$151,DvP!$B$2:$B$151,C16))/AVERAGEIFS(DvP!$E$2:$E$151,DvP!$B$2:$B$151,C16)</f>
        <v>0.092747111681643</v>
      </c>
      <c r="G16" s="13" t="n">
        <f aca="false">(DvP!D16-AVERAGEIFS(DvP!$D$2:$D$151,DvP!$B$2:$B$151,C16))/AVERAGEIFS(DvP!$D$2:$D$151,DvP!$B$2:$B$151,C16)</f>
        <v>0.0377284492901405</v>
      </c>
      <c r="H16" s="7" t="n">
        <f aca="false">1+MAX(-Parametros!$B$5,MIN(Parametros!$B$5,D16*Parametros!$B$2*E16))</f>
        <v>1.00967042660882</v>
      </c>
      <c r="I16" s="7" t="n">
        <f aca="false">1+MAX(-Parametros!$B$5,MIN(Parametros!$B$5,D16*Parametros!$B$3*F16))</f>
        <v>1.04106842105263</v>
      </c>
      <c r="J16" s="7" t="n">
        <f aca="false">1+MAX(-Parametros!$B$5,MIN(Parametros!$B$5,D16*Parametros!$B$4*G16))</f>
        <v>1.01392179778806</v>
      </c>
    </row>
    <row r="17" customFormat="false" ht="15" hidden="false" customHeight="false" outlineLevel="0" collapsed="false">
      <c r="A17" s="0" t="str">
        <f aca="false">B17&amp;"|"&amp;C17</f>
        <v>Miami Heat|PG</v>
      </c>
      <c r="B17" s="0" t="str">
        <f aca="false">DvP!A17</f>
        <v>Miami Heat</v>
      </c>
      <c r="C17" s="0" t="str">
        <f aca="false">DvP!B17</f>
        <v>PG</v>
      </c>
      <c r="D17" s="7" t="n">
        <f aca="false">INDEX(Equipos!$C$2:$C$31,MATCH(B17,Equipos!$A$2:$A$31,0))</f>
        <v>0.579</v>
      </c>
      <c r="E17" s="13" t="n">
        <f aca="false">(DvP!C17-AVERAGEIFS(DvP!$C$2:$C$151,DvP!$B$2:$B$151,C17))/AVERAGEIFS(DvP!$C$2:$C$151,DvP!$B$2:$B$151,C17)</f>
        <v>0.0183176669076886</v>
      </c>
      <c r="F17" s="13" t="n">
        <f aca="false">(DvP!E17-AVERAGEIFS(DvP!$E$2:$E$151,DvP!$B$2:$B$151,C17))/AVERAGEIFS(DvP!$E$2:$E$151,DvP!$B$2:$B$151,C17)</f>
        <v>0.105584082156611</v>
      </c>
      <c r="G17" s="13" t="n">
        <f aca="false">(DvP!D17-AVERAGEIFS(DvP!$D$2:$D$151,DvP!$B$2:$B$151,C17))/AVERAGEIFS(DvP!$D$2:$D$151,DvP!$B$2:$B$151,C17)</f>
        <v>0.077731586791121</v>
      </c>
      <c r="H17" s="7" t="n">
        <f aca="false">1+MAX(-Parametros!$B$5,MIN(Parametros!$B$5,D17*Parametros!$B$2*E17))</f>
        <v>1.00742415039769</v>
      </c>
      <c r="I17" s="7" t="n">
        <f aca="false">1+MAX(-Parametros!$B$5,MIN(Parametros!$B$5,D17*Parametros!$B$3*F17))</f>
        <v>1.03667991014121</v>
      </c>
      <c r="J17" s="7" t="n">
        <f aca="false">1+MAX(-Parametros!$B$5,MIN(Parametros!$B$5,D17*Parametros!$B$4*G17))</f>
        <v>1.02250329437603</v>
      </c>
    </row>
    <row r="18" customFormat="false" ht="15" hidden="false" customHeight="false" outlineLevel="0" collapsed="false">
      <c r="A18" s="0" t="str">
        <f aca="false">B18&amp;"|"&amp;C18</f>
        <v>Milwaukee Bucks|PG</v>
      </c>
      <c r="B18" s="0" t="str">
        <f aca="false">DvP!A18</f>
        <v>Milwaukee Bucks</v>
      </c>
      <c r="C18" s="0" t="str">
        <f aca="false">DvP!B18</f>
        <v>PG</v>
      </c>
      <c r="D18" s="7" t="n">
        <f aca="false">INDEX(Equipos!$C$2:$C$31,MATCH(B18,Equipos!$A$2:$A$31,0))</f>
        <v>0.733</v>
      </c>
      <c r="E18" s="13" t="n">
        <f aca="false">(DvP!C18-AVERAGEIFS(DvP!$C$2:$C$151,DvP!$B$2:$B$151,C18))/AVERAGEIFS(DvP!$C$2:$C$151,DvP!$B$2:$B$151,C18)</f>
        <v>0.0633084277335903</v>
      </c>
      <c r="F18" s="13" t="n">
        <f aca="false">(DvP!E18-AVERAGEIFS(DvP!$E$2:$E$151,DvP!$B$2:$B$151,C18))/AVERAGEIFS(DvP!$E$2:$E$151,DvP!$B$2:$B$151,C18)</f>
        <v>0.0590500641848523</v>
      </c>
      <c r="G18" s="13" t="n">
        <f aca="false">(DvP!D18-AVERAGEIFS(DvP!$D$2:$D$151,DvP!$B$2:$B$151,C18))/AVERAGEIFS(DvP!$D$2:$D$151,DvP!$B$2:$B$151,C18)</f>
        <v>0.0824378382618245</v>
      </c>
      <c r="H18" s="7" t="n">
        <f aca="false">1+MAX(-Parametros!$B$5,MIN(Parametros!$B$5,D18*Parametros!$B$2*E18))</f>
        <v>1.03248355427011</v>
      </c>
      <c r="I18" s="7" t="n">
        <f aca="false">1+MAX(-Parametros!$B$5,MIN(Parametros!$B$5,D18*Parametros!$B$3*F18))</f>
        <v>1.0259702182285</v>
      </c>
      <c r="J18" s="7" t="n">
        <f aca="false">1+MAX(-Parametros!$B$5,MIN(Parametros!$B$5,D18*Parametros!$B$4*G18))</f>
        <v>1.03021346772296</v>
      </c>
    </row>
    <row r="19" customFormat="false" ht="15" hidden="false" customHeight="false" outlineLevel="0" collapsed="false">
      <c r="A19" s="0" t="str">
        <f aca="false">B19&amp;"|"&amp;C19</f>
        <v>Minnesota Timberwolves|PG</v>
      </c>
      <c r="B19" s="0" t="str">
        <f aca="false">DvP!A19</f>
        <v>Minnesota Timberwolves</v>
      </c>
      <c r="C19" s="0" t="str">
        <f aca="false">DvP!B19</f>
        <v>PG</v>
      </c>
      <c r="D19" s="7" t="n">
        <f aca="false">INDEX(Equipos!$C$2:$C$31,MATCH(B19,Equipos!$A$2:$A$31,0))</f>
        <v>0.671</v>
      </c>
      <c r="E19" s="13" t="n">
        <f aca="false">(DvP!C19-AVERAGEIFS(DvP!$C$2:$C$151,DvP!$B$2:$B$151,C19))/AVERAGEIFS(DvP!$C$2:$C$151,DvP!$B$2:$B$151,C19)</f>
        <v>0.0536675504137543</v>
      </c>
      <c r="F19" s="13" t="n">
        <f aca="false">(DvP!E19-AVERAGEIFS(DvP!$E$2:$E$151,DvP!$B$2:$B$151,C19))/AVERAGEIFS(DvP!$E$2:$E$151,DvP!$B$2:$B$151,C19)</f>
        <v>0.116816431322208</v>
      </c>
      <c r="G19" s="13" t="n">
        <f aca="false">(DvP!D19-AVERAGEIFS(DvP!$D$2:$D$151,DvP!$B$2:$B$151,C19))/AVERAGEIFS(DvP!$D$2:$D$151,DvP!$B$2:$B$151,C19)</f>
        <v>-0.00815750254921949</v>
      </c>
      <c r="H19" s="7" t="n">
        <f aca="false">1+MAX(-Parametros!$B$5,MIN(Parametros!$B$5,D19*Parametros!$B$2*E19))</f>
        <v>1.02520764842934</v>
      </c>
      <c r="I19" s="7" t="n">
        <f aca="false">1+MAX(-Parametros!$B$5,MIN(Parametros!$B$5,D19*Parametros!$B$3*F19))</f>
        <v>1.04703029525032</v>
      </c>
      <c r="J19" s="7" t="n">
        <f aca="false">1+MAX(-Parametros!$B$5,MIN(Parametros!$B$5,D19*Parametros!$B$4*G19))</f>
        <v>0.997263157894737</v>
      </c>
    </row>
    <row r="20" customFormat="false" ht="15" hidden="false" customHeight="false" outlineLevel="0" collapsed="false">
      <c r="A20" s="0" t="str">
        <f aca="false">B20&amp;"|"&amp;C20</f>
        <v>New Orleans Pelicans|PG</v>
      </c>
      <c r="B20" s="0" t="str">
        <f aca="false">DvP!A20</f>
        <v>New Orleans Pelicans</v>
      </c>
      <c r="C20" s="0" t="str">
        <f aca="false">DvP!B20</f>
        <v>PG</v>
      </c>
      <c r="D20" s="7" t="n">
        <f aca="false">INDEX(Equipos!$C$2:$C$31,MATCH(B20,Equipos!$A$2:$A$31,0))</f>
        <v>0.859</v>
      </c>
      <c r="E20" s="13" t="n">
        <f aca="false">(DvP!C20-AVERAGEIFS(DvP!$C$2:$C$151,DvP!$B$2:$B$151,C20))/AVERAGEIFS(DvP!$C$2:$C$151,DvP!$B$2:$B$151,C20)</f>
        <v>-0.000964087731983647</v>
      </c>
      <c r="F20" s="13" t="n">
        <f aca="false">(DvP!E20-AVERAGEIFS(DvP!$E$2:$E$151,DvP!$B$2:$B$151,C20))/AVERAGEIFS(DvP!$E$2:$E$151,DvP!$B$2:$B$151,C20)</f>
        <v>-0.0580872913992298</v>
      </c>
      <c r="G20" s="13" t="n">
        <f aca="false">(DvP!D20-AVERAGEIFS(DvP!$D$2:$D$151,DvP!$B$2:$B$151,C20))/AVERAGEIFS(DvP!$D$2:$D$151,DvP!$B$2:$B$151,C20)</f>
        <v>0.0812612753941486</v>
      </c>
      <c r="H20" s="7" t="n">
        <f aca="false">1+MAX(-Parametros!$B$5,MIN(Parametros!$B$5,D20*Parametros!$B$2*E20))</f>
        <v>0.999420294046758</v>
      </c>
      <c r="I20" s="7" t="n">
        <f aca="false">1+MAX(-Parametros!$B$5,MIN(Parametros!$B$5,D20*Parametros!$B$3*F20))</f>
        <v>0.970061810012837</v>
      </c>
      <c r="J20" s="7" t="n">
        <f aca="false">1+MAX(-Parametros!$B$5,MIN(Parametros!$B$5,D20*Parametros!$B$4*G20))</f>
        <v>1.03490171778179</v>
      </c>
    </row>
    <row r="21" customFormat="false" ht="15" hidden="false" customHeight="false" outlineLevel="0" collapsed="false">
      <c r="A21" s="0" t="str">
        <f aca="false">B21&amp;"|"&amp;C21</f>
        <v>New York Knicks|PG</v>
      </c>
      <c r="B21" s="0" t="str">
        <f aca="false">DvP!A21</f>
        <v>New York Knicks</v>
      </c>
      <c r="C21" s="0" t="str">
        <f aca="false">DvP!B21</f>
        <v>PG</v>
      </c>
      <c r="D21" s="7" t="n">
        <f aca="false">INDEX(Equipos!$C$2:$C$31,MATCH(B21,Equipos!$A$2:$A$31,0))</f>
        <v>0.93</v>
      </c>
      <c r="E21" s="13" t="n">
        <f aca="false">(DvP!C21-AVERAGEIFS(DvP!$C$2:$C$151,DvP!$B$2:$B$151,C21))/AVERAGEIFS(DvP!$C$2:$C$151,DvP!$B$2:$B$151,C21)</f>
        <v>-0.0604161645376396</v>
      </c>
      <c r="F21" s="13" t="n">
        <f aca="false">(DvP!E21-AVERAGEIFS(DvP!$E$2:$E$151,DvP!$B$2:$B$151,C21))/AVERAGEIFS(DvP!$E$2:$E$151,DvP!$B$2:$B$151,C21)</f>
        <v>-0.213735558408216</v>
      </c>
      <c r="G21" s="13" t="n">
        <f aca="false">(DvP!D21-AVERAGEIFS(DvP!$D$2:$D$151,DvP!$B$2:$B$151,C21))/AVERAGEIFS(DvP!$D$2:$D$151,DvP!$B$2:$B$151,C21)</f>
        <v>-0.13404972939054</v>
      </c>
      <c r="H21" s="7" t="n">
        <f aca="false">1+MAX(-Parametros!$B$5,MIN(Parametros!$B$5,D21*Parametros!$B$2*E21))</f>
        <v>0.960669076885997</v>
      </c>
      <c r="I21" s="7" t="n">
        <f aca="false">1+MAX(-Parametros!$B$5,MIN(Parametros!$B$5,D21*Parametros!$B$3*F21))</f>
        <v>0.880735558408216</v>
      </c>
      <c r="J21" s="7" t="n">
        <f aca="false">1+MAX(-Parametros!$B$5,MIN(Parametros!$B$5,D21*Parametros!$B$4*G21))</f>
        <v>0.937666875833399</v>
      </c>
    </row>
    <row r="22" customFormat="false" ht="15" hidden="false" customHeight="false" outlineLevel="0" collapsed="false">
      <c r="A22" s="0" t="str">
        <f aca="false">B22&amp;"|"&amp;C22</f>
        <v>Oklahoma City Thunder|PG</v>
      </c>
      <c r="B22" s="0" t="str">
        <f aca="false">DvP!A22</f>
        <v>Oklahoma City Thunder</v>
      </c>
      <c r="C22" s="0" t="str">
        <f aca="false">DvP!B22</f>
        <v>PG</v>
      </c>
      <c r="D22" s="7" t="n">
        <f aca="false">INDEX(Equipos!$C$2:$C$31,MATCH(B22,Equipos!$A$2:$A$31,0))</f>
        <v>0.873</v>
      </c>
      <c r="E22" s="13" t="n">
        <f aca="false">(DvP!C22-AVERAGEIFS(DvP!$C$2:$C$151,DvP!$B$2:$B$151,C22))/AVERAGEIFS(DvP!$C$2:$C$151,DvP!$B$2:$B$151,C22)</f>
        <v>-0.10902225435848</v>
      </c>
      <c r="F22" s="13" t="n">
        <f aca="false">(DvP!E22-AVERAGEIFS(DvP!$E$2:$E$151,DvP!$B$2:$B$151,C22))/AVERAGEIFS(DvP!$E$2:$E$151,DvP!$B$2:$B$151,C22)</f>
        <v>0.0333761232349166</v>
      </c>
      <c r="G22" s="13" t="n">
        <f aca="false">(DvP!D22-AVERAGEIFS(DvP!$D$2:$D$151,DvP!$B$2:$B$151,C22))/AVERAGEIFS(DvP!$D$2:$D$151,DvP!$B$2:$B$151,C22)</f>
        <v>-0.0975762804925876</v>
      </c>
      <c r="H22" s="7" t="n">
        <f aca="false">1+MAX(-Parametros!$B$5,MIN(Parametros!$B$5,D22*Parametros!$B$2*E22))</f>
        <v>0.933376500361533</v>
      </c>
      <c r="I22" s="7" t="n">
        <f aca="false">1+MAX(-Parametros!$B$5,MIN(Parametros!$B$5,D22*Parametros!$B$3*F22))</f>
        <v>1.01748241335045</v>
      </c>
      <c r="J22" s="7" t="n">
        <f aca="false">1+MAX(-Parametros!$B$5,MIN(Parametros!$B$5,D22*Parametros!$B$4*G22))</f>
        <v>0.957407953564986</v>
      </c>
    </row>
    <row r="23" customFormat="false" ht="15" hidden="false" customHeight="false" outlineLevel="0" collapsed="false">
      <c r="A23" s="0" t="str">
        <f aca="false">B23&amp;"|"&amp;C23</f>
        <v>Orlando Magic|PG</v>
      </c>
      <c r="B23" s="0" t="str">
        <f aca="false">DvP!A23</f>
        <v>Orlando Magic</v>
      </c>
      <c r="C23" s="0" t="str">
        <f aca="false">DvP!B23</f>
        <v>PG</v>
      </c>
      <c r="D23" s="7" t="n">
        <f aca="false">INDEX(Equipos!$C$2:$C$31,MATCH(B23,Equipos!$A$2:$A$31,0))</f>
        <v>0.915</v>
      </c>
      <c r="E23" s="13" t="n">
        <f aca="false">(DvP!C23-AVERAGEIFS(DvP!$C$2:$C$151,DvP!$B$2:$B$151,C23))/AVERAGEIFS(DvP!$C$2:$C$151,DvP!$B$2:$B$151,C23)</f>
        <v>0.0858038081465413</v>
      </c>
      <c r="F23" s="13" t="n">
        <f aca="false">(DvP!E23-AVERAGEIFS(DvP!$E$2:$E$151,DvP!$B$2:$B$151,C23))/AVERAGEIFS(DvP!$E$2:$E$151,DvP!$B$2:$B$151,C23)</f>
        <v>-0.0340179717586651</v>
      </c>
      <c r="G23" s="13" t="n">
        <f aca="false">(DvP!D23-AVERAGEIFS(DvP!$D$2:$D$151,DvP!$B$2:$B$151,C23))/AVERAGEIFS(DvP!$D$2:$D$151,DvP!$B$2:$B$151,C23)</f>
        <v>-0.00580437681386774</v>
      </c>
      <c r="H23" s="7" t="n">
        <f aca="false">1+MAX(-Parametros!$B$5,MIN(Parametros!$B$5,D23*Parametros!$B$2*E23))</f>
        <v>1.05495733911786</v>
      </c>
      <c r="I23" s="7" t="n">
        <f aca="false">1+MAX(-Parametros!$B$5,MIN(Parametros!$B$5,D23*Parametros!$B$3*F23))</f>
        <v>0.981324133504493</v>
      </c>
      <c r="J23" s="7" t="n">
        <f aca="false">1+MAX(-Parametros!$B$5,MIN(Parametros!$B$5,D23*Parametros!$B$4*G23))</f>
        <v>0.997344497607656</v>
      </c>
    </row>
    <row r="24" customFormat="false" ht="15" hidden="false" customHeight="false" outlineLevel="0" collapsed="false">
      <c r="A24" s="0" t="str">
        <f aca="false">B24&amp;"|"&amp;C24</f>
        <v>Philadelphia 76ers|PG</v>
      </c>
      <c r="B24" s="0" t="str">
        <f aca="false">DvP!A24</f>
        <v>Philadelphia 76ers</v>
      </c>
      <c r="C24" s="0" t="str">
        <f aca="false">DvP!B24</f>
        <v>PG</v>
      </c>
      <c r="D24" s="7" t="n">
        <f aca="false">INDEX(Equipos!$C$2:$C$31,MATCH(B24,Equipos!$A$2:$A$31,0))</f>
        <v>0.583</v>
      </c>
      <c r="E24" s="13" t="n">
        <f aca="false">(DvP!C24-AVERAGEIFS(DvP!$C$2:$C$151,DvP!$B$2:$B$151,C24))/AVERAGEIFS(DvP!$C$2:$C$151,DvP!$B$2:$B$151,C24)</f>
        <v>-0.0531855065477626</v>
      </c>
      <c r="F24" s="13" t="n">
        <f aca="false">(DvP!E24-AVERAGEIFS(DvP!$E$2:$E$151,DvP!$B$2:$B$151,C24))/AVERAGEIFS(DvP!$E$2:$E$151,DvP!$B$2:$B$151,C24)</f>
        <v>0.00609756097560966</v>
      </c>
      <c r="G24" s="13" t="n">
        <f aca="false">(DvP!D24-AVERAGEIFS(DvP!$D$2:$D$151,DvP!$B$2:$B$151,C24))/AVERAGEIFS(DvP!$D$2:$D$151,DvP!$B$2:$B$151,C24)</f>
        <v>-0.0658090830653383</v>
      </c>
      <c r="H24" s="7" t="n">
        <f aca="false">1+MAX(-Parametros!$B$5,MIN(Parametros!$B$5,D24*Parametros!$B$2*E24))</f>
        <v>0.978294994777858</v>
      </c>
      <c r="I24" s="7" t="n">
        <f aca="false">1+MAX(-Parametros!$B$5,MIN(Parametros!$B$5,D24*Parametros!$B$3*F24))</f>
        <v>1.00213292682927</v>
      </c>
      <c r="J24" s="7" t="n">
        <f aca="false">1+MAX(-Parametros!$B$5,MIN(Parametros!$B$5,D24*Parametros!$B$4*G24))</f>
        <v>0.980816652286454</v>
      </c>
    </row>
    <row r="25" customFormat="false" ht="15" hidden="false" customHeight="false" outlineLevel="0" collapsed="false">
      <c r="A25" s="0" t="str">
        <f aca="false">B25&amp;"|"&amp;C25</f>
        <v>Phoenix Suns|PG</v>
      </c>
      <c r="B25" s="0" t="str">
        <f aca="false">DvP!A25</f>
        <v>Phoenix Suns</v>
      </c>
      <c r="C25" s="0" t="str">
        <f aca="false">DvP!B25</f>
        <v>PG</v>
      </c>
      <c r="D25" s="7" t="n">
        <f aca="false">INDEX(Equipos!$C$2:$C$31,MATCH(B25,Equipos!$A$2:$A$31,0))</f>
        <v>0.83</v>
      </c>
      <c r="E25" s="13" t="n">
        <f aca="false">(DvP!C25-AVERAGEIFS(DvP!$C$2:$C$151,DvP!$B$2:$B$151,C25))/AVERAGEIFS(DvP!$C$2:$C$151,DvP!$B$2:$B$151,C25)</f>
        <v>-0.0146219972684181</v>
      </c>
      <c r="F25" s="13" t="n">
        <f aca="false">(DvP!E25-AVERAGEIFS(DvP!$E$2:$E$151,DvP!$B$2:$B$151,C25))/AVERAGEIFS(DvP!$E$2:$E$151,DvP!$B$2:$B$151,C25)</f>
        <v>-0.0227856225930681</v>
      </c>
      <c r="G25" s="13" t="n">
        <f aca="false">(DvP!D25-AVERAGEIFS(DvP!$D$2:$D$151,DvP!$B$2:$B$151,C25))/AVERAGEIFS(DvP!$D$2:$D$151,DvP!$B$2:$B$151,C25)</f>
        <v>-0.0858106518158287</v>
      </c>
      <c r="H25" s="7" t="n">
        <f aca="false">1+MAX(-Parametros!$B$5,MIN(Parametros!$B$5,D25*Parametros!$B$2*E25))</f>
        <v>0.991504619587049</v>
      </c>
      <c r="I25" s="7" t="n">
        <f aca="false">1+MAX(-Parametros!$B$5,MIN(Parametros!$B$5,D25*Parametros!$B$3*F25))</f>
        <v>0.988652759948652</v>
      </c>
      <c r="J25" s="7" t="n">
        <f aca="false">1+MAX(-Parametros!$B$5,MIN(Parametros!$B$5,D25*Parametros!$B$4*G25))</f>
        <v>0.964388579496431</v>
      </c>
    </row>
    <row r="26" customFormat="false" ht="15" hidden="false" customHeight="false" outlineLevel="0" collapsed="false">
      <c r="A26" s="0" t="str">
        <f aca="false">B26&amp;"|"&amp;C26</f>
        <v>Portland Trail Blazers|PG</v>
      </c>
      <c r="B26" s="0" t="str">
        <f aca="false">DvP!A26</f>
        <v>Portland Trail Blazers</v>
      </c>
      <c r="C26" s="0" t="str">
        <f aca="false">DvP!B26</f>
        <v>PG</v>
      </c>
      <c r="D26" s="7" t="n">
        <f aca="false">INDEX(Equipos!$C$2:$C$31,MATCH(B26,Equipos!$A$2:$A$31,0))</f>
        <v>0.779</v>
      </c>
      <c r="E26" s="13" t="n">
        <f aca="false">(DvP!C26-AVERAGEIFS(DvP!$C$2:$C$151,DvP!$B$2:$B$151,C26))/AVERAGEIFS(DvP!$C$2:$C$151,DvP!$B$2:$B$151,C26)</f>
        <v>0.019522776572668</v>
      </c>
      <c r="F26" s="13" t="n">
        <f aca="false">(DvP!E26-AVERAGEIFS(DvP!$E$2:$E$151,DvP!$B$2:$B$151,C26))/AVERAGEIFS(DvP!$E$2:$E$151,DvP!$B$2:$B$151,C26)</f>
        <v>-0.032413350449294</v>
      </c>
      <c r="G26" s="13" t="n">
        <f aca="false">(DvP!D26-AVERAGEIFS(DvP!$D$2:$D$151,DvP!$B$2:$B$151,C26))/AVERAGEIFS(DvP!$D$2:$D$151,DvP!$B$2:$B$151,C26)</f>
        <v>-0.0316887599027373</v>
      </c>
      <c r="H26" s="7" t="n">
        <f aca="false">1+MAX(-Parametros!$B$5,MIN(Parametros!$B$5,D26*Parametros!$B$2*E26))</f>
        <v>1.01064577006508</v>
      </c>
      <c r="I26" s="7" t="n">
        <f aca="false">1+MAX(-Parametros!$B$5,MIN(Parametros!$B$5,D26*Parametros!$B$3*F26))</f>
        <v>0.98485</v>
      </c>
      <c r="J26" s="7" t="n">
        <f aca="false">1+MAX(-Parametros!$B$5,MIN(Parametros!$B$5,D26*Parametros!$B$4*G26))</f>
        <v>0.987657228017884</v>
      </c>
    </row>
    <row r="27" customFormat="false" ht="15" hidden="false" customHeight="false" outlineLevel="0" collapsed="false">
      <c r="A27" s="0" t="str">
        <f aca="false">B27&amp;"|"&amp;C27</f>
        <v>Sacramento Kings|PG</v>
      </c>
      <c r="B27" s="0" t="str">
        <f aca="false">DvP!A27</f>
        <v>Sacramento Kings</v>
      </c>
      <c r="C27" s="0" t="str">
        <f aca="false">DvP!B27</f>
        <v>PG</v>
      </c>
      <c r="D27" s="7" t="n">
        <f aca="false">INDEX(Equipos!$C$2:$C$31,MATCH(B27,Equipos!$A$2:$A$31,0))</f>
        <v>0.903</v>
      </c>
      <c r="E27" s="13" t="n">
        <f aca="false">(DvP!C27-AVERAGEIFS(DvP!$C$2:$C$151,DvP!$B$2:$B$151,C27))/AVERAGEIFS(DvP!$C$2:$C$151,DvP!$B$2:$B$151,C27)</f>
        <v>0.068932272836828</v>
      </c>
      <c r="F27" s="13" t="n">
        <f aca="false">(DvP!E27-AVERAGEIFS(DvP!$E$2:$E$151,DvP!$B$2:$B$151,C27))/AVERAGEIFS(DvP!$E$2:$E$151,DvP!$B$2:$B$151,C27)</f>
        <v>0.0702824133504492</v>
      </c>
      <c r="G27" s="13" t="n">
        <f aca="false">(DvP!D27-AVERAGEIFS(DvP!$D$2:$D$151,DvP!$B$2:$B$151,C27))/AVERAGEIFS(DvP!$D$2:$D$151,DvP!$B$2:$B$151,C27)</f>
        <v>0.0647893952466862</v>
      </c>
      <c r="H27" s="7" t="n">
        <f aca="false">1+MAX(-Parametros!$B$5,MIN(Parametros!$B$5,D27*Parametros!$B$2*E27))</f>
        <v>1.04357208966016</v>
      </c>
      <c r="I27" s="7" t="n">
        <f aca="false">1+MAX(-Parametros!$B$5,MIN(Parametros!$B$5,D27*Parametros!$B$3*F27))</f>
        <v>1.03807901155327</v>
      </c>
      <c r="J27" s="7" t="n">
        <f aca="false">1+MAX(-Parametros!$B$5,MIN(Parametros!$B$5,D27*Parametros!$B$4*G27))</f>
        <v>1.02925241195388</v>
      </c>
    </row>
    <row r="28" customFormat="false" ht="15" hidden="false" customHeight="false" outlineLevel="0" collapsed="false">
      <c r="A28" s="0" t="str">
        <f aca="false">B28&amp;"|"&amp;C28</f>
        <v>San Antonio Spurs|PG</v>
      </c>
      <c r="B28" s="0" t="str">
        <f aca="false">DvP!A28</f>
        <v>San Antonio Spurs</v>
      </c>
      <c r="C28" s="0" t="str">
        <f aca="false">DvP!B28</f>
        <v>PG</v>
      </c>
      <c r="D28" s="7" t="n">
        <f aca="false">INDEX(Equipos!$C$2:$C$31,MATCH(B28,Equipos!$A$2:$A$31,0))</f>
        <v>0.926</v>
      </c>
      <c r="E28" s="13" t="n">
        <f aca="false">(DvP!C28-AVERAGEIFS(DvP!$C$2:$C$151,DvP!$B$2:$B$151,C28))/AVERAGEIFS(DvP!$C$2:$C$151,DvP!$B$2:$B$151,C28)</f>
        <v>-0.00819474572186071</v>
      </c>
      <c r="F28" s="13" t="n">
        <f aca="false">(DvP!E28-AVERAGEIFS(DvP!$E$2:$E$151,DvP!$B$2:$B$151,C28))/AVERAGEIFS(DvP!$E$2:$E$151,DvP!$B$2:$B$151,C28)</f>
        <v>-0.030808729139923</v>
      </c>
      <c r="G28" s="13" t="n">
        <f aca="false">(DvP!D28-AVERAGEIFS(DvP!$D$2:$D$151,DvP!$B$2:$B$151,C28))/AVERAGEIFS(DvP!$D$2:$D$151,DvP!$B$2:$B$151,C28)</f>
        <v>-0.0811044003451251</v>
      </c>
      <c r="H28" s="7" t="n">
        <f aca="false">1+MAX(-Parametros!$B$5,MIN(Parametros!$B$5,D28*Parametros!$B$2*E28))</f>
        <v>0.99468816582309</v>
      </c>
      <c r="I28" s="7" t="n">
        <f aca="false">1+MAX(-Parametros!$B$5,MIN(Parametros!$B$5,D28*Parametros!$B$3*F28))</f>
        <v>0.982882670089859</v>
      </c>
      <c r="J28" s="7" t="n">
        <f aca="false">1+MAX(-Parametros!$B$5,MIN(Parametros!$B$5,D28*Parametros!$B$4*G28))</f>
        <v>0.962448662640207</v>
      </c>
    </row>
    <row r="29" customFormat="false" ht="15" hidden="false" customHeight="false" outlineLevel="0" collapsed="false">
      <c r="A29" s="0" t="str">
        <f aca="false">B29&amp;"|"&amp;C29</f>
        <v>Toronto Raptors|PG</v>
      </c>
      <c r="B29" s="0" t="str">
        <f aca="false">DvP!A29</f>
        <v>Toronto Raptors</v>
      </c>
      <c r="C29" s="0" t="str">
        <f aca="false">DvP!B29</f>
        <v>PG</v>
      </c>
      <c r="D29" s="7" t="n">
        <f aca="false">INDEX(Equipos!$C$2:$C$31,MATCH(B29,Equipos!$A$2:$A$31,0))</f>
        <v>0.734</v>
      </c>
      <c r="E29" s="13" t="n">
        <f aca="false">(DvP!C29-AVERAGEIFS(DvP!$C$2:$C$151,DvP!$B$2:$B$151,C29))/AVERAGEIFS(DvP!$C$2:$C$151,DvP!$B$2:$B$151,C29)</f>
        <v>0.0359926086607214</v>
      </c>
      <c r="F29" s="13" t="n">
        <f aca="false">(DvP!E29-AVERAGEIFS(DvP!$E$2:$E$151,DvP!$B$2:$B$151,C29))/AVERAGEIFS(DvP!$E$2:$E$151,DvP!$B$2:$B$151,C29)</f>
        <v>-0.037227214377407</v>
      </c>
      <c r="G29" s="13" t="n">
        <f aca="false">(DvP!D29-AVERAGEIFS(DvP!$D$2:$D$151,DvP!$B$2:$B$151,C29))/AVERAGEIFS(DvP!$D$2:$D$151,DvP!$B$2:$B$151,C29)</f>
        <v>-0.117577849243078</v>
      </c>
      <c r="H29" s="7" t="n">
        <f aca="false">1+MAX(-Parametros!$B$5,MIN(Parametros!$B$5,D29*Parametros!$B$2*E29))</f>
        <v>1.01849300232988</v>
      </c>
      <c r="I29" s="7" t="n">
        <f aca="false">1+MAX(-Parametros!$B$5,MIN(Parametros!$B$5,D29*Parametros!$B$3*F29))</f>
        <v>0.98360513478819</v>
      </c>
      <c r="J29" s="7" t="n">
        <f aca="false">1+MAX(-Parametros!$B$5,MIN(Parametros!$B$5,D29*Parametros!$B$4*G29))</f>
        <v>0.95684892932779</v>
      </c>
    </row>
    <row r="30" customFormat="false" ht="15" hidden="false" customHeight="false" outlineLevel="0" collapsed="false">
      <c r="A30" s="0" t="str">
        <f aca="false">B30&amp;"|"&amp;C30</f>
        <v>Utah Jazz|PG</v>
      </c>
      <c r="B30" s="0" t="str">
        <f aca="false">DvP!A30</f>
        <v>Utah Jazz</v>
      </c>
      <c r="C30" s="0" t="str">
        <f aca="false">DvP!B30</f>
        <v>PG</v>
      </c>
      <c r="D30" s="7" t="n">
        <f aca="false">INDEX(Equipos!$C$2:$C$31,MATCH(B30,Equipos!$A$2:$A$31,0))</f>
        <v>0.841</v>
      </c>
      <c r="E30" s="13" t="n">
        <f aca="false">(DvP!C30-AVERAGEIFS(DvP!$C$2:$C$151,DvP!$B$2:$B$151,C30))/AVERAGEIFS(DvP!$C$2:$C$151,DvP!$B$2:$B$151,C30)</f>
        <v>0.0669237567285288</v>
      </c>
      <c r="F30" s="13" t="n">
        <f aca="false">(DvP!E30-AVERAGEIFS(DvP!$E$2:$E$151,DvP!$B$2:$B$151,C30))/AVERAGEIFS(DvP!$E$2:$E$151,DvP!$B$2:$B$151,C30)</f>
        <v>0.0718870346598202</v>
      </c>
      <c r="G30" s="13" t="n">
        <f aca="false">(DvP!D30-AVERAGEIFS(DvP!$D$2:$D$151,DvP!$B$2:$B$151,C30))/AVERAGEIFS(DvP!$D$2:$D$151,DvP!$B$2:$B$151,C30)</f>
        <v>0.0942034669385836</v>
      </c>
      <c r="H30" s="7" t="n">
        <f aca="false">1+MAX(-Parametros!$B$5,MIN(Parametros!$B$5,D30*Parametros!$B$2*E30))</f>
        <v>1.03939801558609</v>
      </c>
      <c r="I30" s="7" t="n">
        <f aca="false">1+MAX(-Parametros!$B$5,MIN(Parametros!$B$5,D30*Parametros!$B$3*F30))</f>
        <v>1.03627419768935</v>
      </c>
      <c r="J30" s="7" t="n">
        <f aca="false">1+MAX(-Parametros!$B$5,MIN(Parametros!$B$5,D30*Parametros!$B$4*G30))</f>
        <v>1.03961255784767</v>
      </c>
    </row>
    <row r="31" customFormat="false" ht="15" hidden="false" customHeight="false" outlineLevel="0" collapsed="false">
      <c r="A31" s="0" t="str">
        <f aca="false">B31&amp;"|"&amp;C31</f>
        <v>Washington Wizards|PG</v>
      </c>
      <c r="B31" s="0" t="str">
        <f aca="false">DvP!A31</f>
        <v>Washington Wizards</v>
      </c>
      <c r="C31" s="0" t="str">
        <f aca="false">DvP!B31</f>
        <v>PG</v>
      </c>
      <c r="D31" s="7" t="n">
        <f aca="false">INDEX(Equipos!$C$2:$C$31,MATCH(B31,Equipos!$A$2:$A$31,0))</f>
        <v>0.841</v>
      </c>
      <c r="E31" s="13" t="n">
        <f aca="false">(DvP!C31-AVERAGEIFS(DvP!$C$2:$C$151,DvP!$B$2:$B$151,C31))/AVERAGEIFS(DvP!$C$2:$C$151,DvP!$B$2:$B$151,C31)</f>
        <v>0.0283602474491845</v>
      </c>
      <c r="F31" s="13" t="n">
        <f aca="false">(DvP!E31-AVERAGEIFS(DvP!$E$2:$E$151,DvP!$B$2:$B$151,C31))/AVERAGEIFS(DvP!$E$2:$E$151,DvP!$B$2:$B$151,C31)</f>
        <v>0.0542362002567394</v>
      </c>
      <c r="G31" s="13" t="n">
        <f aca="false">(DvP!D31-AVERAGEIFS(DvP!$D$2:$D$151,DvP!$B$2:$B$151,C31))/AVERAGEIFS(DvP!$D$2:$D$151,DvP!$B$2:$B$151,C31)</f>
        <v>0.0718487724527414</v>
      </c>
      <c r="H31" s="7" t="n">
        <f aca="false">1+MAX(-Parametros!$B$5,MIN(Parametros!$B$5,D31*Parametros!$B$2*E31))</f>
        <v>1.01669567767334</v>
      </c>
      <c r="I31" s="7" t="n">
        <f aca="false">1+MAX(-Parametros!$B$5,MIN(Parametros!$B$5,D31*Parametros!$B$3*F31))</f>
        <v>1.02736758664955</v>
      </c>
      <c r="J31" s="7" t="n">
        <f aca="false">1+MAX(-Parametros!$B$5,MIN(Parametros!$B$5,D31*Parametros!$B$4*G31))</f>
        <v>1.03021240881638</v>
      </c>
    </row>
    <row r="32" customFormat="false" ht="15" hidden="false" customHeight="false" outlineLevel="0" collapsed="false">
      <c r="A32" s="0" t="str">
        <f aca="false">B32&amp;"|"&amp;C32</f>
        <v>Atlanta Hawks|SG</v>
      </c>
      <c r="B32" s="0" t="str">
        <f aca="false">DvP!A32</f>
        <v>Atlanta Hawks</v>
      </c>
      <c r="C32" s="0" t="str">
        <f aca="false">DvP!B32</f>
        <v>SG</v>
      </c>
      <c r="D32" s="7" t="n">
        <f aca="false">INDEX(Equipos!$C$2:$C$31,MATCH(B32,Equipos!$A$2:$A$31,0))</f>
        <v>0.738</v>
      </c>
      <c r="E32" s="13" t="n">
        <f aca="false">(DvP!C32-AVERAGEIFS(DvP!$C$2:$C$151,DvP!$B$2:$B$151,C32))/AVERAGEIFS(DvP!$C$2:$C$151,DvP!$B$2:$B$151,C32)</f>
        <v>-0.00984157465194419</v>
      </c>
      <c r="F32" s="13" t="n">
        <f aca="false">(DvP!E32-AVERAGEIFS(DvP!$E$2:$E$151,DvP!$B$2:$B$151,C32))/AVERAGEIFS(DvP!$E$2:$E$151,DvP!$B$2:$B$151,C32)</f>
        <v>-0.033414748220132</v>
      </c>
      <c r="G32" s="13" t="n">
        <f aca="false">(DvP!D32-AVERAGEIFS(DvP!$D$2:$D$151,DvP!$B$2:$B$151,C32))/AVERAGEIFS(DvP!$D$2:$D$151,DvP!$B$2:$B$151,C32)</f>
        <v>-0.118528882670398</v>
      </c>
      <c r="H32" s="7" t="n">
        <f aca="false">1+MAX(-Parametros!$B$5,MIN(Parametros!$B$5,D32*Parametros!$B$2*E32))</f>
        <v>0.994915842534806</v>
      </c>
      <c r="I32" s="7" t="n">
        <f aca="false">1+MAX(-Parametros!$B$5,MIN(Parametros!$B$5,D32*Parametros!$B$3*F32))</f>
        <v>0.985203949488126</v>
      </c>
      <c r="J32" s="7" t="n">
        <f aca="false">1+MAX(-Parametros!$B$5,MIN(Parametros!$B$5,D32*Parametros!$B$4*G32))</f>
        <v>0.956262842294623</v>
      </c>
    </row>
    <row r="33" customFormat="false" ht="15" hidden="false" customHeight="false" outlineLevel="0" collapsed="false">
      <c r="A33" s="0" t="str">
        <f aca="false">B33&amp;"|"&amp;C33</f>
        <v>Brooklyn Nets|SG</v>
      </c>
      <c r="B33" s="0" t="str">
        <f aca="false">DvP!A33</f>
        <v>Brooklyn Nets</v>
      </c>
      <c r="C33" s="0" t="str">
        <f aca="false">DvP!B33</f>
        <v>SG</v>
      </c>
      <c r="D33" s="7" t="n">
        <f aca="false">INDEX(Equipos!$C$2:$C$31,MATCH(B33,Equipos!$A$2:$A$31,0))</f>
        <v>0.822</v>
      </c>
      <c r="E33" s="13" t="n">
        <f aca="false">(DvP!C33-AVERAGEIFS(DvP!$C$2:$C$151,DvP!$B$2:$B$151,C33))/AVERAGEIFS(DvP!$C$2:$C$151,DvP!$B$2:$B$151,C33)</f>
        <v>-0.00804128660585685</v>
      </c>
      <c r="F33" s="13" t="n">
        <f aca="false">(DvP!E33-AVERAGEIFS(DvP!$E$2:$E$151,DvP!$B$2:$B$151,C33))/AVERAGEIFS(DvP!$E$2:$E$151,DvP!$B$2:$B$151,C33)</f>
        <v>-0.0100296211609417</v>
      </c>
      <c r="G33" s="13" t="n">
        <f aca="false">(DvP!D33-AVERAGEIFS(DvP!$D$2:$D$151,DvP!$B$2:$B$151,C33))/AVERAGEIFS(DvP!$D$2:$D$151,DvP!$B$2:$B$151,C33)</f>
        <v>0.019388366979812</v>
      </c>
      <c r="H33" s="7" t="n">
        <f aca="false">1+MAX(-Parametros!$B$5,MIN(Parametros!$B$5,D33*Parametros!$B$2*E33))</f>
        <v>0.99537304368699</v>
      </c>
      <c r="I33" s="7" t="n">
        <f aca="false">1+MAX(-Parametros!$B$5,MIN(Parametros!$B$5,D33*Parametros!$B$3*F33))</f>
        <v>0.995053390843424</v>
      </c>
      <c r="J33" s="7" t="n">
        <f aca="false">1+MAX(-Parametros!$B$5,MIN(Parametros!$B$5,D33*Parametros!$B$4*G33))</f>
        <v>1.0079686188287</v>
      </c>
    </row>
    <row r="34" customFormat="false" ht="15" hidden="false" customHeight="false" outlineLevel="0" collapsed="false">
      <c r="A34" s="0" t="str">
        <f aca="false">B34&amp;"|"&amp;C34</f>
        <v>Boston Celtics|SG</v>
      </c>
      <c r="B34" s="0" t="str">
        <f aca="false">DvP!A34</f>
        <v>Boston Celtics</v>
      </c>
      <c r="C34" s="0" t="str">
        <f aca="false">DvP!B34</f>
        <v>SG</v>
      </c>
      <c r="D34" s="7" t="n">
        <f aca="false">INDEX(Equipos!$C$2:$C$31,MATCH(B34,Equipos!$A$2:$A$31,0))</f>
        <v>0.753</v>
      </c>
      <c r="E34" s="13" t="n">
        <f aca="false">(DvP!C34-AVERAGEIFS(DvP!$C$2:$C$151,DvP!$B$2:$B$151,C34))/AVERAGEIFS(DvP!$C$2:$C$151,DvP!$B$2:$B$151,C34)</f>
        <v>-0.100756120979357</v>
      </c>
      <c r="F34" s="13" t="n">
        <f aca="false">(DvP!E34-AVERAGEIFS(DvP!$E$2:$E$151,DvP!$B$2:$B$151,C34))/AVERAGEIFS(DvP!$E$2:$E$151,DvP!$B$2:$B$151,C34)</f>
        <v>0.00556046354518527</v>
      </c>
      <c r="G34" s="13" t="n">
        <f aca="false">(DvP!D34-AVERAGEIFS(DvP!$D$2:$D$151,DvP!$B$2:$B$151,C34))/AVERAGEIFS(DvP!$D$2:$D$151,DvP!$B$2:$B$151,C34)</f>
        <v>-0.0365780531680991</v>
      </c>
      <c r="H34" s="7" t="n">
        <f aca="false">1+MAX(-Parametros!$B$5,MIN(Parametros!$B$5,D34*Parametros!$B$2*E34))</f>
        <v>0.946891448631781</v>
      </c>
      <c r="I34" s="7" t="n">
        <f aca="false">1+MAX(-Parametros!$B$5,MIN(Parametros!$B$5,D34*Parametros!$B$3*F34))</f>
        <v>1.00251221742971</v>
      </c>
      <c r="J34" s="7" t="n">
        <f aca="false">1+MAX(-Parametros!$B$5,MIN(Parametros!$B$5,D34*Parametros!$B$4*G34))</f>
        <v>0.986228362982211</v>
      </c>
    </row>
    <row r="35" customFormat="false" ht="15" hidden="false" customHeight="false" outlineLevel="0" collapsed="false">
      <c r="A35" s="0" t="str">
        <f aca="false">B35&amp;"|"&amp;C35</f>
        <v>Charlotte Hornets|SG</v>
      </c>
      <c r="B35" s="0" t="str">
        <f aca="false">DvP!A35</f>
        <v>Charlotte Hornets</v>
      </c>
      <c r="C35" s="0" t="str">
        <f aca="false">DvP!B35</f>
        <v>SG</v>
      </c>
      <c r="D35" s="7" t="n">
        <f aca="false">INDEX(Equipos!$C$2:$C$31,MATCH(B35,Equipos!$A$2:$A$31,0))</f>
        <v>0.628</v>
      </c>
      <c r="E35" s="13" t="n">
        <f aca="false">(DvP!C35-AVERAGEIFS(DvP!$C$2:$C$151,DvP!$B$2:$B$151,C35))/AVERAGEIFS(DvP!$C$2:$C$151,DvP!$B$2:$B$151,C35)</f>
        <v>-0.0521483437349975</v>
      </c>
      <c r="F35" s="13" t="n">
        <f aca="false">(DvP!E35-AVERAGEIFS(DvP!$E$2:$E$151,DvP!$B$2:$B$151,C35))/AVERAGEIFS(DvP!$E$2:$E$151,DvP!$B$2:$B$151,C35)</f>
        <v>0.000883438133347163</v>
      </c>
      <c r="G35" s="13" t="n">
        <f aca="false">(DvP!D35-AVERAGEIFS(DvP!$D$2:$D$151,DvP!$B$2:$B$151,C35))/AVERAGEIFS(DvP!$D$2:$D$151,DvP!$B$2:$B$151,C35)</f>
        <v>0.0393763741754947</v>
      </c>
      <c r="H35" s="7" t="n">
        <f aca="false">1+MAX(-Parametros!$B$5,MIN(Parametros!$B$5,D35*Parametros!$B$2*E35))</f>
        <v>0.977075588094095</v>
      </c>
      <c r="I35" s="7" t="n">
        <f aca="false">1+MAX(-Parametros!$B$5,MIN(Parametros!$B$5,D35*Parametros!$B$3*F35))</f>
        <v>1.00033287948865</v>
      </c>
      <c r="J35" s="7" t="n">
        <f aca="false">1+MAX(-Parametros!$B$5,MIN(Parametros!$B$5,D35*Parametros!$B$4*G35))</f>
        <v>1.01236418149111</v>
      </c>
    </row>
    <row r="36" customFormat="false" ht="15" hidden="false" customHeight="false" outlineLevel="0" collapsed="false">
      <c r="A36" s="0" t="str">
        <f aca="false">B36&amp;"|"&amp;C36</f>
        <v>Chicago Bulls|SG</v>
      </c>
      <c r="B36" s="0" t="str">
        <f aca="false">DvP!A36</f>
        <v>Chicago Bulls</v>
      </c>
      <c r="C36" s="0" t="str">
        <f aca="false">DvP!B36</f>
        <v>SG</v>
      </c>
      <c r="D36" s="7" t="n">
        <f aca="false">INDEX(Equipos!$C$2:$C$31,MATCH(B36,Equipos!$A$2:$A$31,0))</f>
        <v>0.627</v>
      </c>
      <c r="E36" s="13" t="n">
        <f aca="false">(DvP!C36-AVERAGEIFS(DvP!$C$2:$C$151,DvP!$B$2:$B$151,C36))/AVERAGEIFS(DvP!$C$2:$C$151,DvP!$B$2:$B$151,C36)</f>
        <v>0.0743218915026406</v>
      </c>
      <c r="F36" s="13" t="n">
        <f aca="false">(DvP!E36-AVERAGEIFS(DvP!$E$2:$E$151,DvP!$B$2:$B$151,C36))/AVERAGEIFS(DvP!$E$2:$E$151,DvP!$B$2:$B$151,C36)</f>
        <v>0.032063607545601</v>
      </c>
      <c r="G36" s="13" t="n">
        <f aca="false">(DvP!D36-AVERAGEIFS(DvP!$D$2:$D$151,DvP!$B$2:$B$151,C36))/AVERAGEIFS(DvP!$D$2:$D$151,DvP!$B$2:$B$151,C36)</f>
        <v>0.0933439936038376</v>
      </c>
      <c r="H36" s="7" t="n">
        <f aca="false">1+MAX(-Parametros!$B$5,MIN(Parametros!$B$5,D36*Parametros!$B$2*E36))</f>
        <v>1.03261987818051</v>
      </c>
      <c r="I36" s="7" t="n">
        <f aca="false">1+MAX(-Parametros!$B$5,MIN(Parametros!$B$5,D36*Parametros!$B$3*F36))</f>
        <v>1.01206232915866</v>
      </c>
      <c r="J36" s="7" t="n">
        <f aca="false">1+MAX(-Parametros!$B$5,MIN(Parametros!$B$5,D36*Parametros!$B$4*G36))</f>
        <v>1.0292633419948</v>
      </c>
    </row>
    <row r="37" customFormat="false" ht="15" hidden="false" customHeight="false" outlineLevel="0" collapsed="false">
      <c r="A37" s="0" t="str">
        <f aca="false">B37&amp;"|"&amp;C37</f>
        <v>Cleveland Cavaliers|SG</v>
      </c>
      <c r="B37" s="0" t="str">
        <f aca="false">DvP!A37</f>
        <v>Cleveland Cavaliers</v>
      </c>
      <c r="C37" s="0" t="str">
        <f aca="false">DvP!B37</f>
        <v>SG</v>
      </c>
      <c r="D37" s="7" t="n">
        <f aca="false">INDEX(Equipos!$C$2:$C$31,MATCH(B37,Equipos!$A$2:$A$31,0))</f>
        <v>0.73</v>
      </c>
      <c r="E37" s="13" t="n">
        <f aca="false">(DvP!C37-AVERAGEIFS(DvP!$C$2:$C$151,DvP!$B$2:$B$151,C37))/AVERAGEIFS(DvP!$C$2:$C$151,DvP!$B$2:$B$151,C37)</f>
        <v>-0.0165926548247718</v>
      </c>
      <c r="F37" s="13" t="n">
        <f aca="false">(DvP!E37-AVERAGEIFS(DvP!$E$2:$E$151,DvP!$B$2:$B$151,C37))/AVERAGEIFS(DvP!$E$2:$E$151,DvP!$B$2:$B$151,C37)</f>
        <v>-0.0723899599854492</v>
      </c>
      <c r="G37" s="13" t="n">
        <f aca="false">(DvP!D37-AVERAGEIFS(DvP!$D$2:$D$151,DvP!$B$2:$B$151,C37))/AVERAGEIFS(DvP!$D$2:$D$151,DvP!$B$2:$B$151,C37)</f>
        <v>-0.0745552668398961</v>
      </c>
      <c r="H37" s="7" t="n">
        <f aca="false">1+MAX(-Parametros!$B$5,MIN(Parametros!$B$5,D37*Parametros!$B$2*E37))</f>
        <v>0.991521153384542</v>
      </c>
      <c r="I37" s="7" t="n">
        <f aca="false">1+MAX(-Parametros!$B$5,MIN(Parametros!$B$5,D37*Parametros!$B$3*F37))</f>
        <v>0.968293197526373</v>
      </c>
      <c r="J37" s="7" t="n">
        <f aca="false">1+MAX(-Parametros!$B$5,MIN(Parametros!$B$5,D37*Parametros!$B$4*G37))</f>
        <v>0.972787327603438</v>
      </c>
    </row>
    <row r="38" customFormat="false" ht="15" hidden="false" customHeight="false" outlineLevel="0" collapsed="false">
      <c r="A38" s="0" t="str">
        <f aca="false">B38&amp;"|"&amp;C38</f>
        <v>Dallas Mavericks|SG</v>
      </c>
      <c r="B38" s="0" t="str">
        <f aca="false">DvP!A38</f>
        <v>Dallas Mavericks</v>
      </c>
      <c r="C38" s="0" t="str">
        <f aca="false">DvP!B38</f>
        <v>SG</v>
      </c>
      <c r="D38" s="7" t="n">
        <f aca="false">INDEX(Equipos!$C$2:$C$31,MATCH(B38,Equipos!$A$2:$A$31,0))</f>
        <v>0.726</v>
      </c>
      <c r="E38" s="13" t="n">
        <f aca="false">(DvP!C38-AVERAGEIFS(DvP!$C$2:$C$151,DvP!$B$2:$B$151,C38))/AVERAGEIFS(DvP!$C$2:$C$151,DvP!$B$2:$B$151,C38)</f>
        <v>-0.0120919347095534</v>
      </c>
      <c r="F38" s="13" t="n">
        <f aca="false">(DvP!E38-AVERAGEIFS(DvP!$E$2:$E$151,DvP!$B$2:$B$151,C38))/AVERAGEIFS(DvP!$E$2:$E$151,DvP!$B$2:$B$151,C38)</f>
        <v>0.113132048017461</v>
      </c>
      <c r="G38" s="13" t="n">
        <f aca="false">(DvP!D38-AVERAGEIFS(DvP!$D$2:$D$151,DvP!$B$2:$B$151,C38))/AVERAGEIFS(DvP!$D$2:$D$151,DvP!$B$2:$B$151,C38)</f>
        <v>-0.0285828502898261</v>
      </c>
      <c r="H38" s="7" t="n">
        <f aca="false">1+MAX(-Parametros!$B$5,MIN(Parametros!$B$5,D38*Parametros!$B$2*E38))</f>
        <v>0.993854878780605</v>
      </c>
      <c r="I38" s="7" t="n">
        <f aca="false">1+MAX(-Parametros!$B$5,MIN(Parametros!$B$5,D38*Parametros!$B$3*F38))</f>
        <v>1.04928032011641</v>
      </c>
      <c r="J38" s="7" t="n">
        <f aca="false">1+MAX(-Parametros!$B$5,MIN(Parametros!$B$5,D38*Parametros!$B$4*G38))</f>
        <v>0.989624425344793</v>
      </c>
    </row>
    <row r="39" customFormat="false" ht="15" hidden="false" customHeight="false" outlineLevel="0" collapsed="false">
      <c r="A39" s="0" t="str">
        <f aca="false">B39&amp;"|"&amp;C39</f>
        <v>Denver Nuggets|SG</v>
      </c>
      <c r="B39" s="0" t="str">
        <f aca="false">DvP!A39</f>
        <v>Denver Nuggets</v>
      </c>
      <c r="C39" s="0" t="str">
        <f aca="false">DvP!B39</f>
        <v>SG</v>
      </c>
      <c r="D39" s="7" t="n">
        <f aca="false">INDEX(Equipos!$C$2:$C$31,MATCH(B39,Equipos!$A$2:$A$31,0))</f>
        <v>0.806</v>
      </c>
      <c r="E39" s="13" t="n">
        <f aca="false">(DvP!C39-AVERAGEIFS(DvP!$C$2:$C$151,DvP!$B$2:$B$151,C39))/AVERAGEIFS(DvP!$C$2:$C$151,DvP!$B$2:$B$151,C39)</f>
        <v>0.0311149783965436</v>
      </c>
      <c r="F39" s="13" t="n">
        <f aca="false">(DvP!E39-AVERAGEIFS(DvP!$E$2:$E$151,DvP!$B$2:$B$151,C39))/AVERAGEIFS(DvP!$E$2:$E$151,DvP!$B$2:$B$151,C39)</f>
        <v>-0.0271787143376812</v>
      </c>
      <c r="G39" s="13" t="n">
        <f aca="false">(DvP!D39-AVERAGEIFS(DvP!$D$2:$D$151,DvP!$B$2:$B$151,C39))/AVERAGEIFS(DvP!$D$2:$D$151,DvP!$B$2:$B$151,C39)</f>
        <v>0.00339796122326593</v>
      </c>
      <c r="H39" s="7" t="n">
        <f aca="false">1+MAX(-Parametros!$B$5,MIN(Parametros!$B$5,D39*Parametros!$B$2*E39))</f>
        <v>1.01755507081133</v>
      </c>
      <c r="I39" s="7" t="n">
        <f aca="false">1+MAX(-Parametros!$B$5,MIN(Parametros!$B$5,D39*Parametros!$B$3*F39))</f>
        <v>0.986856373746297</v>
      </c>
      <c r="J39" s="7" t="n">
        <f aca="false">1+MAX(-Parametros!$B$5,MIN(Parametros!$B$5,D39*Parametros!$B$4*G39))</f>
        <v>1.00136937837298</v>
      </c>
    </row>
    <row r="40" customFormat="false" ht="15" hidden="false" customHeight="false" outlineLevel="0" collapsed="false">
      <c r="A40" s="0" t="str">
        <f aca="false">B40&amp;"|"&amp;C40</f>
        <v>Detroit Pistons|SG</v>
      </c>
      <c r="B40" s="0" t="str">
        <f aca="false">DvP!A40</f>
        <v>Detroit Pistons</v>
      </c>
      <c r="C40" s="0" t="str">
        <f aca="false">DvP!B40</f>
        <v>SG</v>
      </c>
      <c r="D40" s="7" t="n">
        <f aca="false">INDEX(Equipos!$C$2:$C$31,MATCH(B40,Equipos!$A$2:$A$31,0))</f>
        <v>0.704</v>
      </c>
      <c r="E40" s="13" t="n">
        <f aca="false">(DvP!C40-AVERAGEIFS(DvP!$C$2:$C$151,DvP!$B$2:$B$151,C40))/AVERAGEIFS(DvP!$C$2:$C$151,DvP!$B$2:$B$151,C40)</f>
        <v>-0.000840134421507349</v>
      </c>
      <c r="F40" s="13" t="n">
        <f aca="false">(DvP!E40-AVERAGEIFS(DvP!$E$2:$E$151,DvP!$B$2:$B$151,C40))/AVERAGEIFS(DvP!$E$2:$E$151,DvP!$B$2:$B$151,C40)</f>
        <v>-0.105129137868316</v>
      </c>
      <c r="G40" s="13" t="n">
        <f aca="false">(DvP!D40-AVERAGEIFS(DvP!$D$2:$D$151,DvP!$B$2:$B$151,C40))/AVERAGEIFS(DvP!$D$2:$D$151,DvP!$B$2:$B$151,C40)</f>
        <v>-0.188486907855287</v>
      </c>
      <c r="H40" s="7" t="n">
        <f aca="false">1+MAX(-Parametros!$B$5,MIN(Parametros!$B$5,D40*Parametros!$B$2*E40))</f>
        <v>0.999585981757081</v>
      </c>
      <c r="I40" s="7" t="n">
        <f aca="false">1+MAX(-Parametros!$B$5,MIN(Parametros!$B$5,D40*Parametros!$B$3*F40))</f>
        <v>0.955593452164424</v>
      </c>
      <c r="J40" s="7" t="n">
        <f aca="false">1+MAX(-Parametros!$B$5,MIN(Parametros!$B$5,D40*Parametros!$B$4*G40))</f>
        <v>0.933652608434939</v>
      </c>
    </row>
    <row r="41" customFormat="false" ht="15" hidden="false" customHeight="false" outlineLevel="0" collapsed="false">
      <c r="A41" s="0" t="str">
        <f aca="false">B41&amp;"|"&amp;C41</f>
        <v>Golden State Warriors|SG</v>
      </c>
      <c r="B41" s="0" t="str">
        <f aca="false">DvP!A41</f>
        <v>Golden State Warriors</v>
      </c>
      <c r="C41" s="0" t="str">
        <f aca="false">DvP!B41</f>
        <v>SG</v>
      </c>
      <c r="D41" s="7" t="n">
        <f aca="false">INDEX(Equipos!$C$2:$C$31,MATCH(B41,Equipos!$A$2:$A$31,0))</f>
        <v>0.893</v>
      </c>
      <c r="E41" s="13" t="n">
        <f aca="false">(DvP!C41-AVERAGEIFS(DvP!$C$2:$C$151,DvP!$B$2:$B$151,C41))/AVERAGEIFS(DvP!$C$2:$C$151,DvP!$B$2:$B$151,C41)</f>
        <v>0.0140122419587136</v>
      </c>
      <c r="F41" s="13" t="n">
        <f aca="false">(DvP!E41-AVERAGEIFS(DvP!$E$2:$E$151,DvP!$B$2:$B$151,C41))/AVERAGEIFS(DvP!$E$2:$E$151,DvP!$B$2:$B$151,C41)</f>
        <v>-0.013147638102167</v>
      </c>
      <c r="G41" s="13" t="n">
        <f aca="false">(DvP!D41-AVERAGEIFS(DvP!$D$2:$D$151,DvP!$B$2:$B$151,C41))/AVERAGEIFS(DvP!$D$2:$D$151,DvP!$B$2:$B$151,C41)</f>
        <v>0.0333799720167899</v>
      </c>
      <c r="H41" s="7" t="n">
        <f aca="false">1+MAX(-Parametros!$B$5,MIN(Parametros!$B$5,D41*Parametros!$B$2*E41))</f>
        <v>1.00875905244839</v>
      </c>
      <c r="I41" s="7" t="n">
        <f aca="false">1+MAX(-Parametros!$B$5,MIN(Parametros!$B$5,D41*Parametros!$B$3*F41))</f>
        <v>0.992955495504859</v>
      </c>
      <c r="J41" s="7" t="n">
        <f aca="false">1+MAX(-Parametros!$B$5,MIN(Parametros!$B$5,D41*Parametros!$B$4*G41))</f>
        <v>1.0149041575055</v>
      </c>
    </row>
    <row r="42" customFormat="false" ht="15" hidden="false" customHeight="false" outlineLevel="0" collapsed="false">
      <c r="A42" s="0" t="str">
        <f aca="false">B42&amp;"|"&amp;C42</f>
        <v>Houston Rockets|SG</v>
      </c>
      <c r="B42" s="0" t="str">
        <f aca="false">DvP!A42</f>
        <v>Houston Rockets</v>
      </c>
      <c r="C42" s="0" t="str">
        <f aca="false">DvP!B42</f>
        <v>SG</v>
      </c>
      <c r="D42" s="7" t="n">
        <f aca="false">INDEX(Equipos!$C$2:$C$31,MATCH(B42,Equipos!$A$2:$A$31,0))</f>
        <v>0.861</v>
      </c>
      <c r="E42" s="13" t="n">
        <f aca="false">(DvP!C42-AVERAGEIFS(DvP!$C$2:$C$151,DvP!$B$2:$B$151,C42))/AVERAGEIFS(DvP!$C$2:$C$151,DvP!$B$2:$B$151,C42)</f>
        <v>-0.0719515122419586</v>
      </c>
      <c r="F42" s="13" t="n">
        <f aca="false">(DvP!E42-AVERAGEIFS(DvP!$E$2:$E$151,DvP!$B$2:$B$151,C42))/AVERAGEIFS(DvP!$E$2:$E$151,DvP!$B$2:$B$151,C42)</f>
        <v>-0.105129137868316</v>
      </c>
      <c r="G42" s="13" t="n">
        <f aca="false">(DvP!D42-AVERAGEIFS(DvP!$D$2:$D$151,DvP!$B$2:$B$151,C42))/AVERAGEIFS(DvP!$D$2:$D$151,DvP!$B$2:$B$151,C42)</f>
        <v>-0.0405756546072357</v>
      </c>
      <c r="H42" s="7" t="n">
        <f aca="false">1+MAX(-Parametros!$B$5,MIN(Parametros!$B$5,D42*Parametros!$B$2*E42))</f>
        <v>0.956634823571772</v>
      </c>
      <c r="I42" s="7" t="n">
        <f aca="false">1+MAX(-Parametros!$B$5,MIN(Parametros!$B$5,D42*Parametros!$B$3*F42))</f>
        <v>0.945690287377228</v>
      </c>
      <c r="J42" s="7" t="n">
        <f aca="false">1+MAX(-Parametros!$B$5,MIN(Parametros!$B$5,D42*Parametros!$B$4*G42))</f>
        <v>0.982532180691585</v>
      </c>
    </row>
    <row r="43" customFormat="false" ht="15" hidden="false" customHeight="false" outlineLevel="0" collapsed="false">
      <c r="A43" s="0" t="str">
        <f aca="false">B43&amp;"|"&amp;C43</f>
        <v>Indiana Pacers|SG</v>
      </c>
      <c r="B43" s="0" t="str">
        <f aca="false">DvP!A43</f>
        <v>Indiana Pacers</v>
      </c>
      <c r="C43" s="0" t="str">
        <f aca="false">DvP!B43</f>
        <v>SG</v>
      </c>
      <c r="D43" s="7" t="n">
        <f aca="false">INDEX(Equipos!$C$2:$C$31,MATCH(B43,Equipos!$A$2:$A$31,0))</f>
        <v>0.819</v>
      </c>
      <c r="E43" s="13" t="n">
        <f aca="false">(DvP!C43-AVERAGEIFS(DvP!$C$2:$C$151,DvP!$B$2:$B$151,C43))/AVERAGEIFS(DvP!$C$2:$C$151,DvP!$B$2:$B$151,C43)</f>
        <v>0.012662025924148</v>
      </c>
      <c r="F43" s="13" t="n">
        <f aca="false">(DvP!E43-AVERAGEIFS(DvP!$E$2:$E$151,DvP!$B$2:$B$151,C43))/AVERAGEIFS(DvP!$E$2:$E$151,DvP!$B$2:$B$151,C43)</f>
        <v>0.077274853193369</v>
      </c>
      <c r="G43" s="13" t="n">
        <f aca="false">(DvP!D43-AVERAGEIFS(DvP!$D$2:$D$151,DvP!$B$2:$B$151,C43))/AVERAGEIFS(DvP!$D$2:$D$151,DvP!$B$2:$B$151,C43)</f>
        <v>-0.00259844093543872</v>
      </c>
      <c r="H43" s="7" t="n">
        <f aca="false">1+MAX(-Parametros!$B$5,MIN(Parametros!$B$5,D43*Parametros!$B$2*E43))</f>
        <v>1.00725913946231</v>
      </c>
      <c r="I43" s="7" t="n">
        <f aca="false">1+MAX(-Parametros!$B$5,MIN(Parametros!$B$5,D43*Parametros!$B$3*F43))</f>
        <v>1.03797286285922</v>
      </c>
      <c r="J43" s="7" t="n">
        <f aca="false">1+MAX(-Parametros!$B$5,MIN(Parametros!$B$5,D43*Parametros!$B$4*G43))</f>
        <v>0.998935938436938</v>
      </c>
    </row>
    <row r="44" customFormat="false" ht="15" hidden="false" customHeight="false" outlineLevel="0" collapsed="false">
      <c r="A44" s="0" t="str">
        <f aca="false">B44&amp;"|"&amp;C44</f>
        <v>Los Angeles Clippers|SG</v>
      </c>
      <c r="B44" s="0" t="str">
        <f aca="false">DvP!A44</f>
        <v>Los Angeles Clippers</v>
      </c>
      <c r="C44" s="0" t="str">
        <f aca="false">DvP!B44</f>
        <v>SG</v>
      </c>
      <c r="D44" s="7" t="n">
        <f aca="false">INDEX(Equipos!$C$2:$C$31,MATCH(B44,Equipos!$A$2:$A$31,0))</f>
        <v>0.63</v>
      </c>
      <c r="E44" s="13" t="n">
        <f aca="false">(DvP!C44-AVERAGEIFS(DvP!$C$2:$C$151,DvP!$B$2:$B$151,C44))/AVERAGEIFS(DvP!$C$2:$C$151,DvP!$B$2:$B$151,C44)</f>
        <v>0.027064330292847</v>
      </c>
      <c r="F44" s="13" t="n">
        <f aca="false">(DvP!E44-AVERAGEIFS(DvP!$E$2:$E$151,DvP!$B$2:$B$151,C44))/AVERAGEIFS(DvP!$E$2:$E$151,DvP!$B$2:$B$151,C44)</f>
        <v>-0.0895390531621889</v>
      </c>
      <c r="G44" s="13" t="n">
        <f aca="false">(DvP!D44-AVERAGEIFS(DvP!$D$2:$D$151,DvP!$B$2:$B$151,C44))/AVERAGEIFS(DvP!$D$2:$D$151,DvP!$B$2:$B$151,C44)</f>
        <v>-0.0305816510093945</v>
      </c>
      <c r="H44" s="7" t="n">
        <f aca="false">1+MAX(-Parametros!$B$5,MIN(Parametros!$B$5,D44*Parametros!$B$2*E44))</f>
        <v>1.01193536965915</v>
      </c>
      <c r="I44" s="7" t="n">
        <f aca="false">1+MAX(-Parametros!$B$5,MIN(Parametros!$B$5,D44*Parametros!$B$3*F44))</f>
        <v>0.966154237904693</v>
      </c>
      <c r="J44" s="7" t="n">
        <f aca="false">1+MAX(-Parametros!$B$5,MIN(Parametros!$B$5,D44*Parametros!$B$4*G44))</f>
        <v>0.990366779932041</v>
      </c>
    </row>
    <row r="45" customFormat="false" ht="15" hidden="false" customHeight="false" outlineLevel="0" collapsed="false">
      <c r="A45" s="0" t="str">
        <f aca="false">B45&amp;"|"&amp;C45</f>
        <v>Los Angeles Lakers|SG</v>
      </c>
      <c r="B45" s="0" t="str">
        <f aca="false">DvP!A45</f>
        <v>Los Angeles Lakers</v>
      </c>
      <c r="C45" s="0" t="str">
        <f aca="false">DvP!B45</f>
        <v>SG</v>
      </c>
      <c r="D45" s="7" t="n">
        <f aca="false">INDEX(Equipos!$C$2:$C$31,MATCH(B45,Equipos!$A$2:$A$31,0))</f>
        <v>0.453</v>
      </c>
      <c r="E45" s="13" t="n">
        <f aca="false">(DvP!C45-AVERAGEIFS(DvP!$C$2:$C$151,DvP!$B$2:$B$151,C45))/AVERAGEIFS(DvP!$C$2:$C$151,DvP!$B$2:$B$151,C45)</f>
        <v>-0.0327952472395583</v>
      </c>
      <c r="F45" s="13" t="n">
        <f aca="false">(DvP!E45-AVERAGEIFS(DvP!$E$2:$E$151,DvP!$B$2:$B$151,C45))/AVERAGEIFS(DvP!$E$2:$E$151,DvP!$B$2:$B$151,C45)</f>
        <v>-0.0770669853972874</v>
      </c>
      <c r="G45" s="13" t="n">
        <f aca="false">(DvP!D45-AVERAGEIFS(DvP!$D$2:$D$151,DvP!$B$2:$B$151,C45))/AVERAGEIFS(DvP!$D$2:$D$151,DvP!$B$2:$B$151,C45)</f>
        <v>-0.0145912452528484</v>
      </c>
      <c r="H45" s="7" t="n">
        <f aca="false">1+MAX(-Parametros!$B$5,MIN(Parametros!$B$5,D45*Parametros!$B$2*E45))</f>
        <v>0.989600627100336</v>
      </c>
      <c r="I45" s="7" t="n">
        <f aca="false">1+MAX(-Parametros!$B$5,MIN(Parametros!$B$5,D45*Parametros!$B$3*F45))</f>
        <v>0.979053193369017</v>
      </c>
      <c r="J45" s="7" t="n">
        <f aca="false">1+MAX(-Parametros!$B$5,MIN(Parametros!$B$5,D45*Parametros!$B$4*G45))</f>
        <v>0.99669508295023</v>
      </c>
    </row>
    <row r="46" customFormat="false" ht="15" hidden="false" customHeight="false" outlineLevel="0" collapsed="false">
      <c r="A46" s="0" t="str">
        <f aca="false">B46&amp;"|"&amp;C46</f>
        <v>Memphis Grizzlies|SG</v>
      </c>
      <c r="B46" s="0" t="str">
        <f aca="false">DvP!A46</f>
        <v>Memphis Grizzlies</v>
      </c>
      <c r="C46" s="0" t="str">
        <f aca="false">DvP!B46</f>
        <v>SG</v>
      </c>
      <c r="D46" s="7" t="n">
        <f aca="false">INDEX(Equipos!$C$2:$C$31,MATCH(B46,Equipos!$A$2:$A$31,0))</f>
        <v>0.738</v>
      </c>
      <c r="E46" s="13" t="n">
        <f aca="false">(DvP!C46-AVERAGEIFS(DvP!$C$2:$C$151,DvP!$B$2:$B$151,C46))/AVERAGEIFS(DvP!$C$2:$C$151,DvP!$B$2:$B$151,C46)</f>
        <v>0.0707213154104658</v>
      </c>
      <c r="F46" s="13" t="n">
        <f aca="false">(DvP!E46-AVERAGEIFS(DvP!$E$2:$E$151,DvP!$B$2:$B$151,C46))/AVERAGEIFS(DvP!$E$2:$E$151,DvP!$B$2:$B$151,C46)</f>
        <v>0.0367406329574391</v>
      </c>
      <c r="G46" s="13" t="n">
        <f aca="false">(DvP!D46-AVERAGEIFS(DvP!$D$2:$D$151,DvP!$B$2:$B$151,C46))/AVERAGEIFS(DvP!$D$2:$D$151,DvP!$B$2:$B$151,C46)</f>
        <v>0.0673595842494503</v>
      </c>
      <c r="H46" s="7" t="n">
        <f aca="false">1+MAX(-Parametros!$B$5,MIN(Parametros!$B$5,D46*Parametros!$B$2*E46))</f>
        <v>1.03653463154105</v>
      </c>
      <c r="I46" s="7" t="n">
        <f aca="false">1+MAX(-Parametros!$B$5,MIN(Parametros!$B$5,D46*Parametros!$B$3*F46))</f>
        <v>1.01626875227355</v>
      </c>
      <c r="J46" s="7" t="n">
        <f aca="false">1+MAX(-Parametros!$B$5,MIN(Parametros!$B$5,D46*Parametros!$B$4*G46))</f>
        <v>1.02485568658805</v>
      </c>
    </row>
    <row r="47" customFormat="false" ht="15" hidden="false" customHeight="false" outlineLevel="0" collapsed="false">
      <c r="A47" s="0" t="str">
        <f aca="false">B47&amp;"|"&amp;C47</f>
        <v>Miami Heat|SG</v>
      </c>
      <c r="B47" s="0" t="str">
        <f aca="false">DvP!A47</f>
        <v>Miami Heat</v>
      </c>
      <c r="C47" s="0" t="str">
        <f aca="false">DvP!B47</f>
        <v>SG</v>
      </c>
      <c r="D47" s="7" t="n">
        <f aca="false">INDEX(Equipos!$C$2:$C$31,MATCH(B47,Equipos!$A$2:$A$31,0))</f>
        <v>0.579</v>
      </c>
      <c r="E47" s="13" t="n">
        <f aca="false">(DvP!C47-AVERAGEIFS(DvP!$C$2:$C$151,DvP!$B$2:$B$151,C47))/AVERAGEIFS(DvP!$C$2:$C$151,DvP!$B$2:$B$151,C47)</f>
        <v>0.0333653384541528</v>
      </c>
      <c r="F47" s="13" t="n">
        <f aca="false">(DvP!E47-AVERAGEIFS(DvP!$E$2:$E$151,DvP!$B$2:$B$151,C47))/AVERAGEIFS(DvP!$E$2:$E$151,DvP!$B$2:$B$151,C47)</f>
        <v>0.120927090370524</v>
      </c>
      <c r="G47" s="13" t="n">
        <f aca="false">(DvP!D47-AVERAGEIFS(DvP!$D$2:$D$151,DvP!$B$2:$B$151,C47))/AVERAGEIFS(DvP!$D$2:$D$151,DvP!$B$2:$B$151,C47)</f>
        <v>0.0593643813711772</v>
      </c>
      <c r="H47" s="7" t="n">
        <f aca="false">1+MAX(-Parametros!$B$5,MIN(Parametros!$B$5,D47*Parametros!$B$2*E47))</f>
        <v>1.01352297167547</v>
      </c>
      <c r="I47" s="7" t="n">
        <f aca="false">1+MAX(-Parametros!$B$5,MIN(Parametros!$B$5,D47*Parametros!$B$3*F47))</f>
        <v>1.04201007119472</v>
      </c>
      <c r="J47" s="7" t="n">
        <f aca="false">1+MAX(-Parametros!$B$5,MIN(Parametros!$B$5,D47*Parametros!$B$4*G47))</f>
        <v>1.01718598840696</v>
      </c>
    </row>
    <row r="48" customFormat="false" ht="15" hidden="false" customHeight="false" outlineLevel="0" collapsed="false">
      <c r="A48" s="0" t="str">
        <f aca="false">B48&amp;"|"&amp;C48</f>
        <v>Milwaukee Bucks|SG</v>
      </c>
      <c r="B48" s="0" t="str">
        <f aca="false">DvP!A48</f>
        <v>Milwaukee Bucks</v>
      </c>
      <c r="C48" s="0" t="str">
        <f aca="false">DvP!B48</f>
        <v>SG</v>
      </c>
      <c r="D48" s="7" t="n">
        <f aca="false">INDEX(Equipos!$C$2:$C$31,MATCH(B48,Equipos!$A$2:$A$31,0))</f>
        <v>0.733</v>
      </c>
      <c r="E48" s="13" t="n">
        <f aca="false">(DvP!C48-AVERAGEIFS(DvP!$C$2:$C$151,DvP!$B$2:$B$151,C48))/AVERAGEIFS(DvP!$C$2:$C$151,DvP!$B$2:$B$151,C48)</f>
        <v>0.0203132501200194</v>
      </c>
      <c r="F48" s="13" t="n">
        <f aca="false">(DvP!E48-AVERAGEIFS(DvP!$E$2:$E$151,DvP!$B$2:$B$151,C48))/AVERAGEIFS(DvP!$E$2:$E$151,DvP!$B$2:$B$151,C48)</f>
        <v>0.0476536922517278</v>
      </c>
      <c r="G48" s="13" t="n">
        <f aca="false">(DvP!D48-AVERAGEIFS(DvP!$D$2:$D$151,DvP!$B$2:$B$151,C48))/AVERAGEIFS(DvP!$D$2:$D$151,DvP!$B$2:$B$151,C48)</f>
        <v>0.00139916050369772</v>
      </c>
      <c r="H48" s="7" t="n">
        <f aca="false">1+MAX(-Parametros!$B$5,MIN(Parametros!$B$5,D48*Parametros!$B$2*E48))</f>
        <v>1.01042272863658</v>
      </c>
      <c r="I48" s="7" t="n">
        <f aca="false">1+MAX(-Parametros!$B$5,MIN(Parametros!$B$5,D48*Parametros!$B$3*F48))</f>
        <v>1.02095809385231</v>
      </c>
      <c r="J48" s="7" t="n">
        <f aca="false">1+MAX(-Parametros!$B$5,MIN(Parametros!$B$5,D48*Parametros!$B$4*G48))</f>
        <v>1.00051279232461</v>
      </c>
    </row>
    <row r="49" customFormat="false" ht="15" hidden="false" customHeight="false" outlineLevel="0" collapsed="false">
      <c r="A49" s="0" t="str">
        <f aca="false">B49&amp;"|"&amp;C49</f>
        <v>Minnesota Timberwolves|SG</v>
      </c>
      <c r="B49" s="0" t="str">
        <f aca="false">DvP!A49</f>
        <v>Minnesota Timberwolves</v>
      </c>
      <c r="C49" s="0" t="str">
        <f aca="false">DvP!B49</f>
        <v>SG</v>
      </c>
      <c r="D49" s="7" t="n">
        <f aca="false">INDEX(Equipos!$C$2:$C$31,MATCH(B49,Equipos!$A$2:$A$31,0))</f>
        <v>0.671</v>
      </c>
      <c r="E49" s="13" t="n">
        <f aca="false">(DvP!C49-AVERAGEIFS(DvP!$C$2:$C$151,DvP!$B$2:$B$151,C49))/AVERAGEIFS(DvP!$C$2:$C$151,DvP!$B$2:$B$151,C49)</f>
        <v>-0.0453972635621698</v>
      </c>
      <c r="F49" s="13" t="n">
        <f aca="false">(DvP!E49-AVERAGEIFS(DvP!$E$2:$E$151,DvP!$B$2:$B$151,C49))/AVERAGEIFS(DvP!$E$2:$E$151,DvP!$B$2:$B$151,C49)</f>
        <v>0.00244244660395982</v>
      </c>
      <c r="G49" s="13" t="n">
        <f aca="false">(DvP!D49-AVERAGEIFS(DvP!$D$2:$D$151,DvP!$B$2:$B$151,C49))/AVERAGEIFS(DvP!$D$2:$D$151,DvP!$B$2:$B$151,C49)</f>
        <v>-0.0605636618029182</v>
      </c>
      <c r="H49" s="7" t="n">
        <f aca="false">1+MAX(-Parametros!$B$5,MIN(Parametros!$B$5,D49*Parametros!$B$2*E49))</f>
        <v>0.978676905304849</v>
      </c>
      <c r="I49" s="7" t="n">
        <f aca="false">1+MAX(-Parametros!$B$5,MIN(Parametros!$B$5,D49*Parametros!$B$3*F49))</f>
        <v>1.00098332900275</v>
      </c>
      <c r="J49" s="7" t="n">
        <f aca="false">1+MAX(-Parametros!$B$5,MIN(Parametros!$B$5,D49*Parametros!$B$4*G49))</f>
        <v>0.979680891465121</v>
      </c>
    </row>
    <row r="50" customFormat="false" ht="15" hidden="false" customHeight="false" outlineLevel="0" collapsed="false">
      <c r="A50" s="0" t="str">
        <f aca="false">B50&amp;"|"&amp;C50</f>
        <v>New Orleans Pelicans|SG</v>
      </c>
      <c r="B50" s="0" t="str">
        <f aca="false">DvP!A50</f>
        <v>New Orleans Pelicans</v>
      </c>
      <c r="C50" s="0" t="str">
        <f aca="false">DvP!B50</f>
        <v>SG</v>
      </c>
      <c r="D50" s="7" t="n">
        <f aca="false">INDEX(Equipos!$C$2:$C$31,MATCH(B50,Equipos!$A$2:$A$31,0))</f>
        <v>0.859</v>
      </c>
      <c r="E50" s="13" t="n">
        <f aca="false">(DvP!C50-AVERAGEIFS(DvP!$C$2:$C$151,DvP!$B$2:$B$151,C50))/AVERAGEIFS(DvP!$C$2:$C$151,DvP!$B$2:$B$151,C50)</f>
        <v>0.0887241958713396</v>
      </c>
      <c r="F50" s="13" t="n">
        <f aca="false">(DvP!E50-AVERAGEIFS(DvP!$E$2:$E$151,DvP!$B$2:$B$151,C50))/AVERAGEIFS(DvP!$E$2:$E$151,DvP!$B$2:$B$151,C50)</f>
        <v>0.0554487346047913</v>
      </c>
      <c r="G50" s="13" t="n">
        <f aca="false">(DvP!D50-AVERAGEIFS(DvP!$D$2:$D$151,DvP!$B$2:$B$151,C50))/AVERAGEIFS(DvP!$D$2:$D$151,DvP!$B$2:$B$151,C50)</f>
        <v>0.0773535878472915</v>
      </c>
      <c r="H50" s="7" t="n">
        <f aca="false">1+MAX(-Parametros!$B$5,MIN(Parametros!$B$5,D50*Parametros!$B$2*E50))</f>
        <v>1.05334985897744</v>
      </c>
      <c r="I50" s="7" t="n">
        <f aca="false">1+MAX(-Parametros!$B$5,MIN(Parametros!$B$5,D50*Parametros!$B$3*F50))</f>
        <v>1.02857827781531</v>
      </c>
      <c r="J50" s="7" t="n">
        <f aca="false">1+MAX(-Parametros!$B$5,MIN(Parametros!$B$5,D50*Parametros!$B$4*G50))</f>
        <v>1.03322336598041</v>
      </c>
    </row>
    <row r="51" customFormat="false" ht="15" hidden="false" customHeight="false" outlineLevel="0" collapsed="false">
      <c r="A51" s="0" t="str">
        <f aca="false">B51&amp;"|"&amp;C51</f>
        <v>New York Knicks|SG</v>
      </c>
      <c r="B51" s="0" t="str">
        <f aca="false">DvP!A51</f>
        <v>New York Knicks</v>
      </c>
      <c r="C51" s="0" t="str">
        <f aca="false">DvP!B51</f>
        <v>SG</v>
      </c>
      <c r="D51" s="7" t="n">
        <f aca="false">INDEX(Equipos!$C$2:$C$31,MATCH(B51,Equipos!$A$2:$A$31,0))</f>
        <v>0.93</v>
      </c>
      <c r="E51" s="13" t="n">
        <f aca="false">(DvP!C51-AVERAGEIFS(DvP!$C$2:$C$151,DvP!$B$2:$B$151,C51))/AVERAGEIFS(DvP!$C$2:$C$151,DvP!$B$2:$B$151,C51)</f>
        <v>-0.0318951032165145</v>
      </c>
      <c r="F51" s="13" t="n">
        <f aca="false">(DvP!E51-AVERAGEIFS(DvP!$E$2:$E$151,DvP!$B$2:$B$151,C51))/AVERAGEIFS(DvP!$E$2:$E$151,DvP!$B$2:$B$151,C51)</f>
        <v>0.00244244660395982</v>
      </c>
      <c r="G51" s="13" t="n">
        <f aca="false">(DvP!D51-AVERAGEIFS(DvP!$D$2:$D$151,DvP!$B$2:$B$151,C51))/AVERAGEIFS(DvP!$D$2:$D$151,DvP!$B$2:$B$151,C51)</f>
        <v>0.0273835698580851</v>
      </c>
      <c r="H51" s="7" t="n">
        <f aca="false">1+MAX(-Parametros!$B$5,MIN(Parametros!$B$5,D51*Parametros!$B$2*E51))</f>
        <v>0.979236287806049</v>
      </c>
      <c r="I51" s="7" t="n">
        <f aca="false">1+MAX(-Parametros!$B$5,MIN(Parametros!$B$5,D51*Parametros!$B$3*F51))</f>
        <v>1.00136288520501</v>
      </c>
      <c r="J51" s="7" t="n">
        <f aca="false">1+MAX(-Parametros!$B$5,MIN(Parametros!$B$5,D51*Parametros!$B$4*G51))</f>
        <v>1.01273335998401</v>
      </c>
    </row>
    <row r="52" customFormat="false" ht="15" hidden="false" customHeight="false" outlineLevel="0" collapsed="false">
      <c r="A52" s="0" t="str">
        <f aca="false">B52&amp;"|"&amp;C52</f>
        <v>Oklahoma City Thunder|SG</v>
      </c>
      <c r="B52" s="0" t="str">
        <f aca="false">DvP!A52</f>
        <v>Oklahoma City Thunder</v>
      </c>
      <c r="C52" s="0" t="str">
        <f aca="false">DvP!B52</f>
        <v>SG</v>
      </c>
      <c r="D52" s="7" t="n">
        <f aca="false">INDEX(Equipos!$C$2:$C$31,MATCH(B52,Equipos!$A$2:$A$31,0))</f>
        <v>0.873</v>
      </c>
      <c r="E52" s="13" t="n">
        <f aca="false">(DvP!C52-AVERAGEIFS(DvP!$C$2:$C$151,DvP!$B$2:$B$151,C52))/AVERAGEIFS(DvP!$C$2:$C$151,DvP!$B$2:$B$151,C52)</f>
        <v>-0.0170427268362937</v>
      </c>
      <c r="F52" s="13" t="n">
        <f aca="false">(DvP!E52-AVERAGEIFS(DvP!$E$2:$E$151,DvP!$B$2:$B$151,C52))/AVERAGEIFS(DvP!$E$2:$E$151,DvP!$B$2:$B$151,C52)</f>
        <v>0.0803928701345943</v>
      </c>
      <c r="G52" s="13" t="n">
        <f aca="false">(DvP!D52-AVERAGEIFS(DvP!$D$2:$D$151,DvP!$B$2:$B$151,C52))/AVERAGEIFS(DvP!$D$2:$D$151,DvP!$B$2:$B$151,C52)</f>
        <v>-0.00259844093543872</v>
      </c>
      <c r="H52" s="7" t="n">
        <f aca="false">1+MAX(-Parametros!$B$5,MIN(Parametros!$B$5,D52*Parametros!$B$2*E52))</f>
        <v>0.989585189630341</v>
      </c>
      <c r="I52" s="7" t="n">
        <f aca="false">1+MAX(-Parametros!$B$5,MIN(Parametros!$B$5,D52*Parametros!$B$3*F52))</f>
        <v>1.0421097853765</v>
      </c>
      <c r="J52" s="7" t="n">
        <f aca="false">1+MAX(-Parametros!$B$5,MIN(Parametros!$B$5,D52*Parametros!$B$4*G52))</f>
        <v>0.998865780531681</v>
      </c>
    </row>
    <row r="53" customFormat="false" ht="15" hidden="false" customHeight="false" outlineLevel="0" collapsed="false">
      <c r="A53" s="0" t="str">
        <f aca="false">B53&amp;"|"&amp;C53</f>
        <v>Orlando Magic|SG</v>
      </c>
      <c r="B53" s="0" t="str">
        <f aca="false">DvP!A53</f>
        <v>Orlando Magic</v>
      </c>
      <c r="C53" s="0" t="str">
        <f aca="false">DvP!B53</f>
        <v>SG</v>
      </c>
      <c r="D53" s="7" t="n">
        <f aca="false">INDEX(Equipos!$C$2:$C$31,MATCH(B53,Equipos!$A$2:$A$31,0))</f>
        <v>0.915</v>
      </c>
      <c r="E53" s="13" t="n">
        <f aca="false">(DvP!C53-AVERAGEIFS(DvP!$C$2:$C$151,DvP!$B$2:$B$151,C53))/AVERAGEIFS(DvP!$C$2:$C$151,DvP!$B$2:$B$151,C53)</f>
        <v>-0.0354956793086893</v>
      </c>
      <c r="F53" s="13" t="n">
        <f aca="false">(DvP!E53-AVERAGEIFS(DvP!$E$2:$E$151,DvP!$B$2:$B$151,C53))/AVERAGEIFS(DvP!$E$2:$E$151,DvP!$B$2:$B$151,C53)</f>
        <v>-0.0412097905731954</v>
      </c>
      <c r="G53" s="13" t="n">
        <f aca="false">(DvP!D53-AVERAGEIFS(DvP!$D$2:$D$151,DvP!$B$2:$B$151,C53))/AVERAGEIFS(DvP!$D$2:$D$151,DvP!$B$2:$B$151,C53)</f>
        <v>-0.0425744553268039</v>
      </c>
      <c r="H53" s="7" t="n">
        <f aca="false">1+MAX(-Parametros!$B$5,MIN(Parametros!$B$5,D53*Parametros!$B$2*E53))</f>
        <v>0.977265017402785</v>
      </c>
      <c r="I53" s="7" t="n">
        <f aca="false">1+MAX(-Parametros!$B$5,MIN(Parametros!$B$5,D53*Parametros!$B$3*F53))</f>
        <v>0.977375824975316</v>
      </c>
      <c r="J53" s="7" t="n">
        <f aca="false">1+MAX(-Parametros!$B$5,MIN(Parametros!$B$5,D53*Parametros!$B$4*G53))</f>
        <v>0.980522186687987</v>
      </c>
    </row>
    <row r="54" customFormat="false" ht="15" hidden="false" customHeight="false" outlineLevel="0" collapsed="false">
      <c r="A54" s="0" t="str">
        <f aca="false">B54&amp;"|"&amp;C54</f>
        <v>Philadelphia 76ers|SG</v>
      </c>
      <c r="B54" s="0" t="str">
        <f aca="false">DvP!A54</f>
        <v>Philadelphia 76ers</v>
      </c>
      <c r="C54" s="0" t="str">
        <f aca="false">DvP!B54</f>
        <v>SG</v>
      </c>
      <c r="D54" s="7" t="n">
        <f aca="false">INDEX(Equipos!$C$2:$C$31,MATCH(B54,Equipos!$A$2:$A$31,0))</f>
        <v>0.583</v>
      </c>
      <c r="E54" s="13" t="n">
        <f aca="false">(DvP!C54-AVERAGEIFS(DvP!$C$2:$C$151,DvP!$B$2:$B$151,C54))/AVERAGEIFS(DvP!$C$2:$C$151,DvP!$B$2:$B$151,C54)</f>
        <v>0.0554188670187231</v>
      </c>
      <c r="F54" s="13" t="n">
        <f aca="false">(DvP!E54-AVERAGEIFS(DvP!$E$2:$E$151,DvP!$B$2:$B$151,C54))/AVERAGEIFS(DvP!$E$2:$E$151,DvP!$B$2:$B$151,C54)</f>
        <v>0.0336226160162137</v>
      </c>
      <c r="G54" s="13" t="n">
        <f aca="false">(DvP!D54-AVERAGEIFS(DvP!$D$2:$D$151,DvP!$B$2:$B$151,C54))/AVERAGEIFS(DvP!$D$2:$D$151,DvP!$B$2:$B$151,C54)</f>
        <v>0.0753547871277233</v>
      </c>
      <c r="H54" s="7" t="n">
        <f aca="false">1+MAX(-Parametros!$B$5,MIN(Parametros!$B$5,D54*Parametros!$B$2*E54))</f>
        <v>1.02261643963034</v>
      </c>
      <c r="I54" s="7" t="n">
        <f aca="false">1+MAX(-Parametros!$B$5,MIN(Parametros!$B$5,D54*Parametros!$B$3*F54))</f>
        <v>1.01176119108247</v>
      </c>
      <c r="J54" s="7" t="n">
        <f aca="false">1+MAX(-Parametros!$B$5,MIN(Parametros!$B$5,D54*Parametros!$B$4*G54))</f>
        <v>1.02196592044773</v>
      </c>
    </row>
    <row r="55" customFormat="false" ht="15" hidden="false" customHeight="false" outlineLevel="0" collapsed="false">
      <c r="A55" s="0" t="str">
        <f aca="false">B55&amp;"|"&amp;C55</f>
        <v>Phoenix Suns|SG</v>
      </c>
      <c r="B55" s="0" t="str">
        <f aca="false">DvP!A55</f>
        <v>Phoenix Suns</v>
      </c>
      <c r="C55" s="0" t="str">
        <f aca="false">DvP!B55</f>
        <v>SG</v>
      </c>
      <c r="D55" s="7" t="n">
        <f aca="false">INDEX(Equipos!$C$2:$C$31,MATCH(B55,Equipos!$A$2:$A$31,0))</f>
        <v>0.83</v>
      </c>
      <c r="E55" s="13" t="n">
        <f aca="false">(DvP!C55-AVERAGEIFS(DvP!$C$2:$C$151,DvP!$B$2:$B$151,C55))/AVERAGEIFS(DvP!$C$2:$C$151,DvP!$B$2:$B$151,C55)</f>
        <v>-0.0426968314930388</v>
      </c>
      <c r="F55" s="13" t="n">
        <f aca="false">(DvP!E55-AVERAGEIFS(DvP!$E$2:$E$151,DvP!$B$2:$B$151,C55))/AVERAGEIFS(DvP!$E$2:$E$151,DvP!$B$2:$B$151,C55)</f>
        <v>0.000883438133347163</v>
      </c>
      <c r="G55" s="13" t="n">
        <f aca="false">(DvP!D55-AVERAGEIFS(DvP!$D$2:$D$151,DvP!$B$2:$B$151,C55))/AVERAGEIFS(DvP!$D$2:$D$151,DvP!$B$2:$B$151,C55)</f>
        <v>-0.164501299220468</v>
      </c>
      <c r="H55" s="7" t="n">
        <f aca="false">1+MAX(-Parametros!$B$5,MIN(Parametros!$B$5,D55*Parametros!$B$2*E55))</f>
        <v>0.975193140902545</v>
      </c>
      <c r="I55" s="7" t="n">
        <f aca="false">1+MAX(-Parametros!$B$5,MIN(Parametros!$B$5,D55*Parametros!$B$3*F55))</f>
        <v>1.00043995219041</v>
      </c>
      <c r="J55" s="7" t="n">
        <f aca="false">1+MAX(-Parametros!$B$5,MIN(Parametros!$B$5,D55*Parametros!$B$4*G55))</f>
        <v>0.931731960823506</v>
      </c>
    </row>
    <row r="56" customFormat="false" ht="15" hidden="false" customHeight="false" outlineLevel="0" collapsed="false">
      <c r="A56" s="0" t="str">
        <f aca="false">B56&amp;"|"&amp;C56</f>
        <v>Portland Trail Blazers|SG</v>
      </c>
      <c r="B56" s="0" t="str">
        <f aca="false">DvP!A56</f>
        <v>Portland Trail Blazers</v>
      </c>
      <c r="C56" s="0" t="str">
        <f aca="false">DvP!B56</f>
        <v>SG</v>
      </c>
      <c r="D56" s="7" t="n">
        <f aca="false">INDEX(Equipos!$C$2:$C$31,MATCH(B56,Equipos!$A$2:$A$31,0))</f>
        <v>0.779</v>
      </c>
      <c r="E56" s="13" t="n">
        <f aca="false">(DvP!C56-AVERAGEIFS(DvP!$C$2:$C$151,DvP!$B$2:$B$151,C56))/AVERAGEIFS(DvP!$C$2:$C$151,DvP!$B$2:$B$151,C56)</f>
        <v>-0.0327952472395583</v>
      </c>
      <c r="F56" s="13" t="n">
        <f aca="false">(DvP!E56-AVERAGEIFS(DvP!$E$2:$E$151,DvP!$B$2:$B$151,C56))/AVERAGEIFS(DvP!$E$2:$E$151,DvP!$B$2:$B$151,C56)</f>
        <v>-0.0225016889258432</v>
      </c>
      <c r="G56" s="13" t="n">
        <f aca="false">(DvP!D56-AVERAGEIFS(DvP!$D$2:$D$151,DvP!$B$2:$B$151,C56))/AVERAGEIFS(DvP!$D$2:$D$151,DvP!$B$2:$B$151,C56)</f>
        <v>-0.0245852488506896</v>
      </c>
      <c r="H56" s="7" t="n">
        <f aca="false">1+MAX(-Parametros!$B$5,MIN(Parametros!$B$5,D56*Parametros!$B$2*E56))</f>
        <v>0.982116751680269</v>
      </c>
      <c r="I56" s="7" t="n">
        <f aca="false">1+MAX(-Parametros!$B$5,MIN(Parametros!$B$5,D56*Parametros!$B$3*F56))</f>
        <v>0.989482710596061</v>
      </c>
      <c r="J56" s="7" t="n">
        <f aca="false">1+MAX(-Parametros!$B$5,MIN(Parametros!$B$5,D56*Parametros!$B$4*G56))</f>
        <v>0.990424045572656</v>
      </c>
    </row>
    <row r="57" customFormat="false" ht="15" hidden="false" customHeight="false" outlineLevel="0" collapsed="false">
      <c r="A57" s="0" t="str">
        <f aca="false">B57&amp;"|"&amp;C57</f>
        <v>Sacramento Kings|SG</v>
      </c>
      <c r="B57" s="0" t="str">
        <f aca="false">DvP!A57</f>
        <v>Sacramento Kings</v>
      </c>
      <c r="C57" s="0" t="str">
        <f aca="false">DvP!B57</f>
        <v>SG</v>
      </c>
      <c r="D57" s="7" t="n">
        <f aca="false">INDEX(Equipos!$C$2:$C$31,MATCH(B57,Equipos!$A$2:$A$31,0))</f>
        <v>0.903</v>
      </c>
      <c r="E57" s="13" t="n">
        <f aca="false">(DvP!C57-AVERAGEIFS(DvP!$C$2:$C$151,DvP!$B$2:$B$151,C57))/AVERAGEIFS(DvP!$C$2:$C$151,DvP!$B$2:$B$151,C57)</f>
        <v>0.0459673547767643</v>
      </c>
      <c r="F57" s="13" t="n">
        <f aca="false">(DvP!E57-AVERAGEIFS(DvP!$E$2:$E$151,DvP!$B$2:$B$151,C57))/AVERAGEIFS(DvP!$E$2:$E$151,DvP!$B$2:$B$151,C57)</f>
        <v>-0.0240606973964559</v>
      </c>
      <c r="G57" s="13" t="n">
        <f aca="false">(DvP!D57-AVERAGEIFS(DvP!$D$2:$D$151,DvP!$B$2:$B$151,C57))/AVERAGEIFS(DvP!$D$2:$D$151,DvP!$B$2:$B$151,C57)</f>
        <v>0.11333200079952</v>
      </c>
      <c r="H57" s="7" t="n">
        <f aca="false">1+MAX(-Parametros!$B$5,MIN(Parametros!$B$5,D57*Parametros!$B$2*E57))</f>
        <v>1.02905596495439</v>
      </c>
      <c r="I57" s="7" t="n">
        <f aca="false">1+MAX(-Parametros!$B$5,MIN(Parametros!$B$5,D57*Parametros!$B$3*F57))</f>
        <v>0.9869639141506</v>
      </c>
      <c r="J57" s="7" t="n">
        <f aca="false">1+MAX(-Parametros!$B$5,MIN(Parametros!$B$5,D57*Parametros!$B$4*G57))</f>
        <v>1.05116939836098</v>
      </c>
    </row>
    <row r="58" customFormat="false" ht="15" hidden="false" customHeight="false" outlineLevel="0" collapsed="false">
      <c r="A58" s="0" t="str">
        <f aca="false">B58&amp;"|"&amp;C58</f>
        <v>San Antonio Spurs|SG</v>
      </c>
      <c r="B58" s="0" t="str">
        <f aca="false">DvP!A58</f>
        <v>San Antonio Spurs</v>
      </c>
      <c r="C58" s="0" t="str">
        <f aca="false">DvP!B58</f>
        <v>SG</v>
      </c>
      <c r="D58" s="7" t="n">
        <f aca="false">INDEX(Equipos!$C$2:$C$31,MATCH(B58,Equipos!$A$2:$A$31,0))</f>
        <v>0.926</v>
      </c>
      <c r="E58" s="13" t="n">
        <f aca="false">(DvP!C58-AVERAGEIFS(DvP!$C$2:$C$151,DvP!$B$2:$B$151,C58))/AVERAGEIFS(DvP!$C$2:$C$151,DvP!$B$2:$B$151,C58)</f>
        <v>-0.0706012962073931</v>
      </c>
      <c r="F58" s="13" t="n">
        <f aca="false">(DvP!E58-AVERAGEIFS(DvP!$E$2:$E$151,DvP!$B$2:$B$151,C58))/AVERAGEIFS(DvP!$E$2:$E$151,DvP!$B$2:$B$151,C58)</f>
        <v>-0.0053525957491036</v>
      </c>
      <c r="G58" s="13" t="n">
        <f aca="false">(DvP!D58-AVERAGEIFS(DvP!$D$2:$D$151,DvP!$B$2:$B$151,C58))/AVERAGEIFS(DvP!$D$2:$D$151,DvP!$B$2:$B$151,C58)</f>
        <v>-0.0825504697181692</v>
      </c>
      <c r="H58" s="7" t="n">
        <f aca="false">1+MAX(-Parametros!$B$5,MIN(Parametros!$B$5,D58*Parametros!$B$2*E58))</f>
        <v>0.954236239798368</v>
      </c>
      <c r="I58" s="7" t="n">
        <f aca="false">1+MAX(-Parametros!$B$5,MIN(Parametros!$B$5,D58*Parametros!$B$3*F58))</f>
        <v>0.997026097801798</v>
      </c>
      <c r="J58" s="7" t="n">
        <f aca="false">1+MAX(-Parametros!$B$5,MIN(Parametros!$B$5,D58*Parametros!$B$4*G58))</f>
        <v>0.961779132520488</v>
      </c>
    </row>
    <row r="59" customFormat="false" ht="15" hidden="false" customHeight="false" outlineLevel="0" collapsed="false">
      <c r="A59" s="0" t="str">
        <f aca="false">B59&amp;"|"&amp;C59</f>
        <v>Toronto Raptors|SG</v>
      </c>
      <c r="B59" s="0" t="str">
        <f aca="false">DvP!A59</f>
        <v>Toronto Raptors</v>
      </c>
      <c r="C59" s="0" t="str">
        <f aca="false">DvP!B59</f>
        <v>SG</v>
      </c>
      <c r="D59" s="7" t="n">
        <f aca="false">INDEX(Equipos!$C$2:$C$31,MATCH(B59,Equipos!$A$2:$A$31,0))</f>
        <v>0.734</v>
      </c>
      <c r="E59" s="13" t="n">
        <f aca="false">(DvP!C59-AVERAGEIFS(DvP!$C$2:$C$151,DvP!$B$2:$B$151,C59))/AVERAGEIFS(DvP!$C$2:$C$151,DvP!$B$2:$B$151,C59)</f>
        <v>-0.0143422947671627</v>
      </c>
      <c r="F59" s="13" t="n">
        <f aca="false">(DvP!E59-AVERAGEIFS(DvP!$E$2:$E$151,DvP!$B$2:$B$151,C59))/AVERAGEIFS(DvP!$E$2:$E$151,DvP!$B$2:$B$151,C59)</f>
        <v>-0.0583588837499351</v>
      </c>
      <c r="G59" s="13" t="n">
        <f aca="false">(DvP!D59-AVERAGEIFS(DvP!$D$2:$D$151,DvP!$B$2:$B$151,C59))/AVERAGEIFS(DvP!$D$2:$D$151,DvP!$B$2:$B$151,C59)</f>
        <v>-0.00459724165500693</v>
      </c>
      <c r="H59" s="7" t="n">
        <f aca="false">1+MAX(-Parametros!$B$5,MIN(Parametros!$B$5,D59*Parametros!$B$2*E59))</f>
        <v>0.992630928948632</v>
      </c>
      <c r="I59" s="7" t="n">
        <f aca="false">1+MAX(-Parametros!$B$5,MIN(Parametros!$B$5,D59*Parametros!$B$3*F59))</f>
        <v>0.974298747596529</v>
      </c>
      <c r="J59" s="7" t="n">
        <f aca="false">1+MAX(-Parametros!$B$5,MIN(Parametros!$B$5,D59*Parametros!$B$4*G59))</f>
        <v>0.998312812312613</v>
      </c>
    </row>
    <row r="60" customFormat="false" ht="15" hidden="false" customHeight="false" outlineLevel="0" collapsed="false">
      <c r="A60" s="0" t="str">
        <f aca="false">B60&amp;"|"&amp;C60</f>
        <v>Utah Jazz|SG</v>
      </c>
      <c r="B60" s="0" t="str">
        <f aca="false">DvP!A60</f>
        <v>Utah Jazz</v>
      </c>
      <c r="C60" s="0" t="str">
        <f aca="false">DvP!B60</f>
        <v>SG</v>
      </c>
      <c r="D60" s="7" t="n">
        <f aca="false">INDEX(Equipos!$C$2:$C$31,MATCH(B60,Equipos!$A$2:$A$31,0))</f>
        <v>0.841</v>
      </c>
      <c r="E60" s="13" t="n">
        <f aca="false">(DvP!C60-AVERAGEIFS(DvP!$C$2:$C$151,DvP!$B$2:$B$151,C60))/AVERAGEIFS(DvP!$C$2:$C$151,DvP!$B$2:$B$151,C60)</f>
        <v>0.0972755640902545</v>
      </c>
      <c r="F60" s="13" t="n">
        <f aca="false">(DvP!E60-AVERAGEIFS(DvP!$E$2:$E$151,DvP!$B$2:$B$151,C60))/AVERAGEIFS(DvP!$E$2:$E$151,DvP!$B$2:$B$151,C60)</f>
        <v>0.0913059294288832</v>
      </c>
      <c r="G60" s="13" t="n">
        <f aca="false">(DvP!D60-AVERAGEIFS(DvP!$D$2:$D$151,DvP!$B$2:$B$151,C60))/AVERAGEIFS(DvP!$D$2:$D$151,DvP!$B$2:$B$151,C60)</f>
        <v>0.145312812312613</v>
      </c>
      <c r="H60" s="7" t="n">
        <f aca="false">1+MAX(-Parametros!$B$5,MIN(Parametros!$B$5,D60*Parametros!$B$2*E60))</f>
        <v>1.05726612457993</v>
      </c>
      <c r="I60" s="7" t="n">
        <f aca="false">1+MAX(-Parametros!$B$5,MIN(Parametros!$B$5,D60*Parametros!$B$3*F60))</f>
        <v>1.04607297198981</v>
      </c>
      <c r="J60" s="7" t="n">
        <f aca="false">1+MAX(-Parametros!$B$5,MIN(Parametros!$B$5,D60*Parametros!$B$4*G60))</f>
        <v>1.06110403757745</v>
      </c>
    </row>
    <row r="61" customFormat="false" ht="15" hidden="false" customHeight="false" outlineLevel="0" collapsed="false">
      <c r="A61" s="0" t="str">
        <f aca="false">B61&amp;"|"&amp;C61</f>
        <v>Washington Wizards|SG</v>
      </c>
      <c r="B61" s="0" t="str">
        <f aca="false">DvP!A61</f>
        <v>Washington Wizards</v>
      </c>
      <c r="C61" s="0" t="str">
        <f aca="false">DvP!B61</f>
        <v>SG</v>
      </c>
      <c r="D61" s="7" t="n">
        <f aca="false">INDEX(Equipos!$C$2:$C$31,MATCH(B61,Equipos!$A$2:$A$31,0))</f>
        <v>0.841</v>
      </c>
      <c r="E61" s="13" t="n">
        <f aca="false">(DvP!C61-AVERAGEIFS(DvP!$C$2:$C$151,DvP!$B$2:$B$151,C61))/AVERAGEIFS(DvP!$C$2:$C$151,DvP!$B$2:$B$151,C61)</f>
        <v>0.024363898223716</v>
      </c>
      <c r="F61" s="13" t="n">
        <f aca="false">(DvP!E61-AVERAGEIFS(DvP!$E$2:$E$151,DvP!$B$2:$B$151,C61))/AVERAGEIFS(DvP!$E$2:$E$151,DvP!$B$2:$B$151,C61)</f>
        <v>-0.0162656550433925</v>
      </c>
      <c r="G61" s="13" t="n">
        <f aca="false">(DvP!D61-AVERAGEIFS(DvP!$D$2:$D$151,DvP!$B$2:$B$151,C61))/AVERAGEIFS(DvP!$D$2:$D$151,DvP!$B$2:$B$151,C61)</f>
        <v>0.161303218069158</v>
      </c>
      <c r="H61" s="7" t="n">
        <f aca="false">1+MAX(-Parametros!$B$5,MIN(Parametros!$B$5,D61*Parametros!$B$2*E61))</f>
        <v>1.0143430268843</v>
      </c>
      <c r="I61" s="7" t="n">
        <f aca="false">1+MAX(-Parametros!$B$5,MIN(Parametros!$B$5,D61*Parametros!$B$3*F61))</f>
        <v>0.991792350465104</v>
      </c>
      <c r="J61" s="7" t="n">
        <f aca="false">1+MAX(-Parametros!$B$5,MIN(Parametros!$B$5,D61*Parametros!$B$4*G61))</f>
        <v>1.06782800319808</v>
      </c>
    </row>
    <row r="62" customFormat="false" ht="15" hidden="false" customHeight="false" outlineLevel="0" collapsed="false">
      <c r="A62" s="0" t="str">
        <f aca="false">B62&amp;"|"&amp;C62</f>
        <v>Atlanta Hawks|SF</v>
      </c>
      <c r="B62" s="0" t="str">
        <f aca="false">DvP!A62</f>
        <v>Atlanta Hawks</v>
      </c>
      <c r="C62" s="0" t="str">
        <f aca="false">DvP!B62</f>
        <v>SF</v>
      </c>
      <c r="D62" s="7" t="n">
        <f aca="false">INDEX(Equipos!$C$2:$C$31,MATCH(B62,Equipos!$A$2:$A$31,0))</f>
        <v>0.738</v>
      </c>
      <c r="E62" s="13" t="n">
        <f aca="false">(DvP!C62-AVERAGEIFS(DvP!$C$2:$C$151,DvP!$B$2:$B$151,C62))/AVERAGEIFS(DvP!$C$2:$C$151,DvP!$B$2:$B$151,C62)</f>
        <v>0.0714594438841665</v>
      </c>
      <c r="F62" s="13" t="n">
        <f aca="false">(DvP!E62-AVERAGEIFS(DvP!$E$2:$E$151,DvP!$B$2:$B$151,C62))/AVERAGEIFS(DvP!$E$2:$E$151,DvP!$B$2:$B$151,C62)</f>
        <v>0.0491611718554378</v>
      </c>
      <c r="G62" s="13" t="n">
        <f aca="false">(DvP!D62-AVERAGEIFS(DvP!$D$2:$D$151,DvP!$B$2:$B$151,C62))/AVERAGEIFS(DvP!$D$2:$D$151,DvP!$B$2:$B$151,C62)</f>
        <v>-0.0304139034987423</v>
      </c>
      <c r="H62" s="7" t="n">
        <f aca="false">1+MAX(-Parametros!$B$5,MIN(Parametros!$B$5,D62*Parametros!$B$2*E62))</f>
        <v>1.03691594871056</v>
      </c>
      <c r="I62" s="7" t="n">
        <f aca="false">1+MAX(-Parametros!$B$5,MIN(Parametros!$B$5,D62*Parametros!$B$3*F62))</f>
        <v>1.02176856689759</v>
      </c>
      <c r="J62" s="7" t="n">
        <f aca="false">1+MAX(-Parametros!$B$5,MIN(Parametros!$B$5,D62*Parametros!$B$4*G62))</f>
        <v>0.988777269608964</v>
      </c>
    </row>
    <row r="63" customFormat="false" ht="15" hidden="false" customHeight="false" outlineLevel="0" collapsed="false">
      <c r="A63" s="0" t="str">
        <f aca="false">B63&amp;"|"&amp;C63</f>
        <v>Brooklyn Nets|SF</v>
      </c>
      <c r="B63" s="0" t="str">
        <f aca="false">DvP!A63</f>
        <v>Brooklyn Nets</v>
      </c>
      <c r="C63" s="0" t="str">
        <f aca="false">DvP!B63</f>
        <v>SF</v>
      </c>
      <c r="D63" s="7" t="n">
        <f aca="false">INDEX(Equipos!$C$2:$C$31,MATCH(B63,Equipos!$A$2:$A$31,0))</f>
        <v>0.822</v>
      </c>
      <c r="E63" s="13" t="n">
        <f aca="false">(DvP!C63-AVERAGEIFS(DvP!$C$2:$C$151,DvP!$B$2:$B$151,C63))/AVERAGEIFS(DvP!$C$2:$C$151,DvP!$B$2:$B$151,C63)</f>
        <v>0.0178648609710417</v>
      </c>
      <c r="F63" s="13" t="n">
        <f aca="false">(DvP!E63-AVERAGEIFS(DvP!$E$2:$E$151,DvP!$B$2:$B$151,C63))/AVERAGEIFS(DvP!$E$2:$E$151,DvP!$B$2:$B$151,C63)</f>
        <v>-0.00717803188381614</v>
      </c>
      <c r="G63" s="13" t="n">
        <f aca="false">(DvP!D63-AVERAGEIFS(DvP!$D$2:$D$151,DvP!$B$2:$B$151,C63))/AVERAGEIFS(DvP!$D$2:$D$151,DvP!$B$2:$B$151,C63)</f>
        <v>0.120512234164189</v>
      </c>
      <c r="H63" s="7" t="n">
        <f aca="false">1+MAX(-Parametros!$B$5,MIN(Parametros!$B$5,D63*Parametros!$B$2*E63))</f>
        <v>1.01027944100274</v>
      </c>
      <c r="I63" s="7" t="n">
        <f aca="false">1+MAX(-Parametros!$B$5,MIN(Parametros!$B$5,D63*Parametros!$B$3*F63))</f>
        <v>0.996459794674902</v>
      </c>
      <c r="J63" s="7" t="n">
        <f aca="false">1+MAX(-Parametros!$B$5,MIN(Parametros!$B$5,D63*Parametros!$B$4*G63))</f>
        <v>1.04953052824148</v>
      </c>
    </row>
    <row r="64" customFormat="false" ht="15" hidden="false" customHeight="false" outlineLevel="0" collapsed="false">
      <c r="A64" s="0" t="str">
        <f aca="false">B64&amp;"|"&amp;C64</f>
        <v>Boston Celtics|SF</v>
      </c>
      <c r="B64" s="0" t="str">
        <f aca="false">DvP!A64</f>
        <v>Boston Celtics</v>
      </c>
      <c r="C64" s="0" t="str">
        <f aca="false">DvP!B64</f>
        <v>SF</v>
      </c>
      <c r="D64" s="7" t="n">
        <f aca="false">INDEX(Equipos!$C$2:$C$31,MATCH(B64,Equipos!$A$2:$A$31,0))</f>
        <v>0.753</v>
      </c>
      <c r="E64" s="13" t="n">
        <f aca="false">(DvP!C64-AVERAGEIFS(DvP!$C$2:$C$151,DvP!$B$2:$B$151,C64))/AVERAGEIFS(DvP!$C$2:$C$151,DvP!$B$2:$B$151,C64)</f>
        <v>-0.12908802766172</v>
      </c>
      <c r="F64" s="13" t="n">
        <f aca="false">(DvP!E64-AVERAGEIFS(DvP!$E$2:$E$151,DvP!$B$2:$B$151,C64))/AVERAGEIFS(DvP!$E$2:$E$151,DvP!$B$2:$B$151,C64)</f>
        <v>0.00408980886403461</v>
      </c>
      <c r="G64" s="13" t="n">
        <f aca="false">(DvP!D64-AVERAGEIFS(DvP!$D$2:$D$151,DvP!$B$2:$B$151,C64))/AVERAGEIFS(DvP!$D$2:$D$151,DvP!$B$2:$B$151,C64)</f>
        <v>-0.25451635033158</v>
      </c>
      <c r="H64" s="7" t="n">
        <f aca="false">1+MAX(-Parametros!$B$5,MIN(Parametros!$B$5,D64*Parametros!$B$2*E64))</f>
        <v>0.931957700619507</v>
      </c>
      <c r="I64" s="7" t="n">
        <f aca="false">1+MAX(-Parametros!$B$5,MIN(Parametros!$B$5,D64*Parametros!$B$3*F64))</f>
        <v>1.00184777564477</v>
      </c>
      <c r="J64" s="7" t="n">
        <f aca="false">1+MAX(-Parametros!$B$5,MIN(Parametros!$B$5,D64*Parametros!$B$4*G64))</f>
        <v>0.90417459410016</v>
      </c>
    </row>
    <row r="65" customFormat="false" ht="15" hidden="false" customHeight="false" outlineLevel="0" collapsed="false">
      <c r="A65" s="0" t="str">
        <f aca="false">B65&amp;"|"&amp;C65</f>
        <v>Charlotte Hornets|SF</v>
      </c>
      <c r="B65" s="0" t="str">
        <f aca="false">DvP!A65</f>
        <v>Charlotte Hornets</v>
      </c>
      <c r="C65" s="0" t="str">
        <f aca="false">DvP!B65</f>
        <v>SF</v>
      </c>
      <c r="D65" s="7" t="n">
        <f aca="false">INDEX(Equipos!$C$2:$C$31,MATCH(B65,Equipos!$A$2:$A$31,0))</f>
        <v>0.628</v>
      </c>
      <c r="E65" s="13" t="n">
        <f aca="false">(DvP!C65-AVERAGEIFS(DvP!$C$2:$C$151,DvP!$B$2:$B$151,C65))/AVERAGEIFS(DvP!$C$2:$C$151,DvP!$B$2:$B$151,C65)</f>
        <v>-0.073332372856937</v>
      </c>
      <c r="F65" s="13" t="n">
        <f aca="false">(DvP!E65-AVERAGEIFS(DvP!$E$2:$E$151,DvP!$B$2:$B$151,C65))/AVERAGEIFS(DvP!$E$2:$E$151,DvP!$B$2:$B$151,C65)</f>
        <v>-0.0923128286453552</v>
      </c>
      <c r="G65" s="13" t="n">
        <f aca="false">(DvP!D65-AVERAGEIFS(DvP!$D$2:$D$151,DvP!$B$2:$B$151,C65))/AVERAGEIFS(DvP!$D$2:$D$151,DvP!$B$2:$B$151,C65)</f>
        <v>-0.080722616053053</v>
      </c>
      <c r="H65" s="7" t="n">
        <f aca="false">1+MAX(-Parametros!$B$5,MIN(Parametros!$B$5,D65*Parametros!$B$2*E65))</f>
        <v>0.967763088892091</v>
      </c>
      <c r="I65" s="7" t="n">
        <f aca="false">1+MAX(-Parametros!$B$5,MIN(Parametros!$B$5,D65*Parametros!$B$3*F65))</f>
        <v>0.96521652616643</v>
      </c>
      <c r="J65" s="7" t="n">
        <f aca="false">1+MAX(-Parametros!$B$5,MIN(Parametros!$B$5,D65*Parametros!$B$4*G65))</f>
        <v>0.974653098559341</v>
      </c>
    </row>
    <row r="66" customFormat="false" ht="15" hidden="false" customHeight="false" outlineLevel="0" collapsed="false">
      <c r="A66" s="0" t="str">
        <f aca="false">B66&amp;"|"&amp;C66</f>
        <v>Chicago Bulls|SF</v>
      </c>
      <c r="B66" s="0" t="str">
        <f aca="false">DvP!A66</f>
        <v>Chicago Bulls</v>
      </c>
      <c r="C66" s="0" t="str">
        <f aca="false">DvP!B66</f>
        <v>SF</v>
      </c>
      <c r="D66" s="7" t="n">
        <f aca="false">INDEX(Equipos!$C$2:$C$31,MATCH(B66,Equipos!$A$2:$A$31,0))</f>
        <v>0.627</v>
      </c>
      <c r="E66" s="13" t="n">
        <f aca="false">(DvP!C66-AVERAGEIFS(DvP!$C$2:$C$151,DvP!$B$2:$B$151,C66))/AVERAGEIFS(DvP!$C$2:$C$151,DvP!$B$2:$B$151,C66)</f>
        <v>-0.00893243048552083</v>
      </c>
      <c r="F66" s="13" t="n">
        <f aca="false">(DvP!E66-AVERAGEIFS(DvP!$E$2:$E$151,DvP!$B$2:$B$151,C66))/AVERAGEIFS(DvP!$E$2:$E$151,DvP!$B$2:$B$151,C66)</f>
        <v>0.131792004006343</v>
      </c>
      <c r="G66" s="13" t="n">
        <f aca="false">(DvP!D66-AVERAGEIFS(DvP!$D$2:$D$151,DvP!$B$2:$B$151,C66))/AVERAGEIFS(DvP!$D$2:$D$151,DvP!$B$2:$B$151,C66)</f>
        <v>0.0153212897324492</v>
      </c>
      <c r="H66" s="7" t="n">
        <f aca="false">1+MAX(-Parametros!$B$5,MIN(Parametros!$B$5,D66*Parametros!$B$2*E66))</f>
        <v>0.996079556259905</v>
      </c>
      <c r="I66" s="7" t="n">
        <f aca="false">1+MAX(-Parametros!$B$5,MIN(Parametros!$B$5,D66*Parametros!$B$3*F66))</f>
        <v>1.04958015190719</v>
      </c>
      <c r="J66" s="7" t="n">
        <f aca="false">1+MAX(-Parametros!$B$5,MIN(Parametros!$B$5,D66*Parametros!$B$4*G66))</f>
        <v>1.00480322433112</v>
      </c>
    </row>
    <row r="67" customFormat="false" ht="15" hidden="false" customHeight="false" outlineLevel="0" collapsed="false">
      <c r="A67" s="0" t="str">
        <f aca="false">B67&amp;"|"&amp;C67</f>
        <v>Cleveland Cavaliers|SF</v>
      </c>
      <c r="B67" s="0" t="str">
        <f aca="false">DvP!A67</f>
        <v>Cleveland Cavaliers</v>
      </c>
      <c r="C67" s="0" t="str">
        <f aca="false">DvP!B67</f>
        <v>SF</v>
      </c>
      <c r="D67" s="7" t="n">
        <f aca="false">INDEX(Equipos!$C$2:$C$31,MATCH(B67,Equipos!$A$2:$A$31,0))</f>
        <v>0.73</v>
      </c>
      <c r="E67" s="13" t="n">
        <f aca="false">(DvP!C67-AVERAGEIFS(DvP!$C$2:$C$151,DvP!$B$2:$B$151,C67))/AVERAGEIFS(DvP!$C$2:$C$151,DvP!$B$2:$B$151,C67)</f>
        <v>-0.0231955049704653</v>
      </c>
      <c r="F67" s="13" t="n">
        <f aca="false">(DvP!E67-AVERAGEIFS(DvP!$E$2:$E$151,DvP!$B$2:$B$151,C67))/AVERAGEIFS(DvP!$E$2:$E$151,DvP!$B$2:$B$151,C67)</f>
        <v>-0.0359736249061014</v>
      </c>
      <c r="G67" s="13" t="n">
        <f aca="false">(DvP!D67-AVERAGEIFS(DvP!$D$2:$D$151,DvP!$B$2:$B$151,C67))/AVERAGEIFS(DvP!$D$2:$D$151,DvP!$B$2:$B$151,C67)</f>
        <v>-0.0189801051909445</v>
      </c>
      <c r="H67" s="7" t="n">
        <f aca="false">1+MAX(-Parametros!$B$5,MIN(Parametros!$B$5,D67*Parametros!$B$2*E67))</f>
        <v>0.988147096960092</v>
      </c>
      <c r="I67" s="7" t="n">
        <f aca="false">1+MAX(-Parametros!$B$5,MIN(Parametros!$B$5,D67*Parametros!$B$3*F67))</f>
        <v>0.984243552291128</v>
      </c>
      <c r="J67" s="7" t="n">
        <f aca="false">1+MAX(-Parametros!$B$5,MIN(Parametros!$B$5,D67*Parametros!$B$4*G67))</f>
        <v>0.993072261605305</v>
      </c>
    </row>
    <row r="68" customFormat="false" ht="15" hidden="false" customHeight="false" outlineLevel="0" collapsed="false">
      <c r="A68" s="0" t="str">
        <f aca="false">B68&amp;"|"&amp;C68</f>
        <v>Dallas Mavericks|SF</v>
      </c>
      <c r="B68" s="0" t="str">
        <f aca="false">DvP!A68</f>
        <v>Dallas Mavericks</v>
      </c>
      <c r="C68" s="0" t="str">
        <f aca="false">DvP!B68</f>
        <v>SF</v>
      </c>
      <c r="D68" s="7" t="n">
        <f aca="false">INDEX(Equipos!$C$2:$C$31,MATCH(B68,Equipos!$A$2:$A$31,0))</f>
        <v>0.726</v>
      </c>
      <c r="E68" s="13" t="n">
        <f aca="false">(DvP!C68-AVERAGEIFS(DvP!$C$2:$C$151,DvP!$B$2:$B$151,C68))/AVERAGEIFS(DvP!$C$2:$C$151,DvP!$B$2:$B$151,C68)</f>
        <v>-0.013686788647169</v>
      </c>
      <c r="F68" s="13" t="n">
        <f aca="false">(DvP!E68-AVERAGEIFS(DvP!$E$2:$E$151,DvP!$B$2:$B$151,C68))/AVERAGEIFS(DvP!$E$2:$E$151,DvP!$B$2:$B$151,C68)</f>
        <v>0.0316334195810032</v>
      </c>
      <c r="G68" s="13" t="n">
        <f aca="false">(DvP!D68-AVERAGEIFS(DvP!$D$2:$D$151,DvP!$B$2:$B$151,C68))/AVERAGEIFS(DvP!$D$2:$D$151,DvP!$B$2:$B$151,C68)</f>
        <v>0.154813629087583</v>
      </c>
      <c r="H68" s="7" t="n">
        <f aca="false">1+MAX(-Parametros!$B$5,MIN(Parametros!$B$5,D68*Parametros!$B$2*E68))</f>
        <v>0.993044374009509</v>
      </c>
      <c r="I68" s="7" t="n">
        <f aca="false">1+MAX(-Parametros!$B$5,MIN(Parametros!$B$5,D68*Parametros!$B$3*F68))</f>
        <v>1.01377951756949</v>
      </c>
      <c r="J68" s="7" t="n">
        <f aca="false">1+MAX(-Parametros!$B$5,MIN(Parametros!$B$5,D68*Parametros!$B$4*G68))</f>
        <v>1.05619734735879</v>
      </c>
    </row>
    <row r="69" customFormat="false" ht="15" hidden="false" customHeight="false" outlineLevel="0" collapsed="false">
      <c r="A69" s="0" t="str">
        <f aca="false">B69&amp;"|"&amp;C69</f>
        <v>Denver Nuggets|SF</v>
      </c>
      <c r="B69" s="0" t="str">
        <f aca="false">DvP!A69</f>
        <v>Denver Nuggets</v>
      </c>
      <c r="C69" s="0" t="str">
        <f aca="false">DvP!B69</f>
        <v>SF</v>
      </c>
      <c r="D69" s="7" t="n">
        <f aca="false">INDEX(Equipos!$C$2:$C$31,MATCH(B69,Equipos!$A$2:$A$31,0))</f>
        <v>0.806</v>
      </c>
      <c r="E69" s="13" t="n">
        <f aca="false">(DvP!C69-AVERAGEIFS(DvP!$C$2:$C$151,DvP!$B$2:$B$151,C69))/AVERAGEIFS(DvP!$C$2:$C$151,DvP!$B$2:$B$151,C69)</f>
        <v>0.0338567929693129</v>
      </c>
      <c r="F69" s="13" t="n">
        <f aca="false">(DvP!E69-AVERAGEIFS(DvP!$E$2:$E$151,DvP!$B$2:$B$151,C69))/AVERAGEIFS(DvP!$E$2:$E$151,DvP!$B$2:$B$151,C69)</f>
        <v>-0.0146899257157166</v>
      </c>
      <c r="G69" s="13" t="n">
        <f aca="false">(DvP!D69-AVERAGEIFS(DvP!$D$2:$D$151,DvP!$B$2:$B$151,C69))/AVERAGEIFS(DvP!$D$2:$D$151,DvP!$B$2:$B$151,C69)</f>
        <v>0.0519094443174021</v>
      </c>
      <c r="H69" s="7" t="n">
        <f aca="false">1+MAX(-Parametros!$B$5,MIN(Parametros!$B$5,D69*Parametros!$B$2*E69))</f>
        <v>1.01910200259329</v>
      </c>
      <c r="I69" s="7" t="n">
        <f aca="false">1+MAX(-Parametros!$B$5,MIN(Parametros!$B$5,D69*Parametros!$B$3*F69))</f>
        <v>0.99289595192388</v>
      </c>
      <c r="J69" s="7" t="n">
        <f aca="false">1+MAX(-Parametros!$B$5,MIN(Parametros!$B$5,D69*Parametros!$B$4*G69))</f>
        <v>1.02091950605991</v>
      </c>
    </row>
    <row r="70" customFormat="false" ht="15" hidden="false" customHeight="false" outlineLevel="0" collapsed="false">
      <c r="A70" s="0" t="str">
        <f aca="false">B70&amp;"|"&amp;C70</f>
        <v>Detroit Pistons|SF</v>
      </c>
      <c r="B70" s="0" t="str">
        <f aca="false">DvP!A70</f>
        <v>Detroit Pistons</v>
      </c>
      <c r="C70" s="0" t="str">
        <f aca="false">DvP!B70</f>
        <v>SF</v>
      </c>
      <c r="D70" s="7" t="n">
        <f aca="false">INDEX(Equipos!$C$2:$C$31,MATCH(B70,Equipos!$A$2:$A$31,0))</f>
        <v>0.704</v>
      </c>
      <c r="E70" s="13" t="n">
        <f aca="false">(DvP!C70-AVERAGEIFS(DvP!$C$2:$C$151,DvP!$B$2:$B$151,C70))/AVERAGEIFS(DvP!$C$2:$C$151,DvP!$B$2:$B$151,C70)</f>
        <v>-0.094510877395188</v>
      </c>
      <c r="F70" s="13" t="n">
        <f aca="false">(DvP!E70-AVERAGEIFS(DvP!$E$2:$E$151,DvP!$B$2:$B$151,C70))/AVERAGEIFS(DvP!$E$2:$E$151,DvP!$B$2:$B$151,C70)</f>
        <v>-0.0672731825390202</v>
      </c>
      <c r="G70" s="13" t="n">
        <f aca="false">(DvP!D70-AVERAGEIFS(DvP!$D$2:$D$151,DvP!$B$2:$B$151,C70))/AVERAGEIFS(DvP!$D$2:$D$151,DvP!$B$2:$B$151,C70)</f>
        <v>-0.233935513377544</v>
      </c>
      <c r="H70" s="7" t="n">
        <f aca="false">1+MAX(-Parametros!$B$5,MIN(Parametros!$B$5,D70*Parametros!$B$2*E70))</f>
        <v>0.953425039619651</v>
      </c>
      <c r="I70" s="7" t="n">
        <f aca="false">1+MAX(-Parametros!$B$5,MIN(Parametros!$B$5,D70*Parametros!$B$3*F70))</f>
        <v>0.971583807695518</v>
      </c>
      <c r="J70" s="7" t="n">
        <f aca="false">1+MAX(-Parametros!$B$5,MIN(Parametros!$B$5,D70*Parametros!$B$4*G70))</f>
        <v>0.917654699291105</v>
      </c>
    </row>
    <row r="71" customFormat="false" ht="15" hidden="false" customHeight="false" outlineLevel="0" collapsed="false">
      <c r="A71" s="0" t="str">
        <f aca="false">B71&amp;"|"&amp;C71</f>
        <v>Golden State Warriors|SF</v>
      </c>
      <c r="B71" s="0" t="str">
        <f aca="false">DvP!A71</f>
        <v>Golden State Warriors</v>
      </c>
      <c r="C71" s="0" t="str">
        <f aca="false">DvP!B71</f>
        <v>SF</v>
      </c>
      <c r="D71" s="7" t="n">
        <f aca="false">INDEX(Equipos!$C$2:$C$31,MATCH(B71,Equipos!$A$2:$A$31,0))</f>
        <v>0.893</v>
      </c>
      <c r="E71" s="13" t="n">
        <f aca="false">(DvP!C71-AVERAGEIFS(DvP!$C$2:$C$151,DvP!$B$2:$B$151,C71))/AVERAGEIFS(DvP!$C$2:$C$151,DvP!$B$2:$B$151,C71)</f>
        <v>-0.0703068722086154</v>
      </c>
      <c r="F71" s="13" t="n">
        <f aca="false">(DvP!E71-AVERAGEIFS(DvP!$E$2:$E$151,DvP!$B$2:$B$151,C71))/AVERAGEIFS(DvP!$E$2:$E$151,DvP!$B$2:$B$151,C71)</f>
        <v>-0.0522493948752191</v>
      </c>
      <c r="G71" s="13" t="n">
        <f aca="false">(DvP!D71-AVERAGEIFS(DvP!$D$2:$D$151,DvP!$B$2:$B$151,C71))/AVERAGEIFS(DvP!$D$2:$D$151,DvP!$B$2:$B$151,C71)</f>
        <v>0.0747770409329979</v>
      </c>
      <c r="H71" s="7" t="n">
        <f aca="false">1+MAX(-Parametros!$B$5,MIN(Parametros!$B$5,D71*Parametros!$B$2*E71))</f>
        <v>0.956051174182395</v>
      </c>
      <c r="I71" s="7" t="n">
        <f aca="false">1+MAX(-Parametros!$B$5,MIN(Parametros!$B$5,D71*Parametros!$B$3*F71))</f>
        <v>0.972004774225858</v>
      </c>
      <c r="J71" s="7" t="n">
        <f aca="false">1+MAX(-Parametros!$B$5,MIN(Parametros!$B$5,D71*Parametros!$B$4*G71))</f>
        <v>1.03338794877658</v>
      </c>
    </row>
    <row r="72" customFormat="false" ht="15" hidden="false" customHeight="false" outlineLevel="0" collapsed="false">
      <c r="A72" s="0" t="str">
        <f aca="false">B72&amp;"|"&amp;C72</f>
        <v>Houston Rockets|SF</v>
      </c>
      <c r="B72" s="0" t="str">
        <f aca="false">DvP!A72</f>
        <v>Houston Rockets</v>
      </c>
      <c r="C72" s="0" t="str">
        <f aca="false">DvP!B72</f>
        <v>SF</v>
      </c>
      <c r="D72" s="7" t="n">
        <f aca="false">INDEX(Equipos!$C$2:$C$31,MATCH(B72,Equipos!$A$2:$A$31,0))</f>
        <v>0.861</v>
      </c>
      <c r="E72" s="13" t="n">
        <f aca="false">(DvP!C72-AVERAGEIFS(DvP!$C$2:$C$151,DvP!$B$2:$B$151,C72))/AVERAGEIFS(DvP!$C$2:$C$151,DvP!$B$2:$B$151,C72)</f>
        <v>-0.00763578735052583</v>
      </c>
      <c r="F72" s="13" t="n">
        <f aca="false">(DvP!E72-AVERAGEIFS(DvP!$E$2:$E$151,DvP!$B$2:$B$151,C72))/AVERAGEIFS(DvP!$E$2:$E$151,DvP!$B$2:$B$151,C72)</f>
        <v>-0.0772890409815542</v>
      </c>
      <c r="G72" s="13" t="n">
        <f aca="false">(DvP!D72-AVERAGEIFS(DvP!$D$2:$D$151,DvP!$B$2:$B$151,C72))/AVERAGEIFS(DvP!$D$2:$D$151,DvP!$B$2:$B$151,C72)</f>
        <v>-0.0349874228218615</v>
      </c>
      <c r="H72" s="7" t="n">
        <f aca="false">1+MAX(-Parametros!$B$5,MIN(Parametros!$B$5,D72*Parametros!$B$2*E72))</f>
        <v>0.995397910963838</v>
      </c>
      <c r="I72" s="7" t="n">
        <f aca="false">1+MAX(-Parametros!$B$5,MIN(Parametros!$B$5,D72*Parametros!$B$3*F72))</f>
        <v>0.960072481428929</v>
      </c>
      <c r="J72" s="7" t="n">
        <f aca="false">1+MAX(-Parametros!$B$5,MIN(Parametros!$B$5,D72*Parametros!$B$4*G72))</f>
        <v>0.984937914475189</v>
      </c>
    </row>
    <row r="73" customFormat="false" ht="15" hidden="false" customHeight="false" outlineLevel="0" collapsed="false">
      <c r="A73" s="0" t="str">
        <f aca="false">B73&amp;"|"&amp;C73</f>
        <v>Indiana Pacers|SF</v>
      </c>
      <c r="B73" s="0" t="str">
        <f aca="false">DvP!A73</f>
        <v>Indiana Pacers</v>
      </c>
      <c r="C73" s="0" t="str">
        <f aca="false">DvP!B73</f>
        <v>SF</v>
      </c>
      <c r="D73" s="7" t="n">
        <f aca="false">INDEX(Equipos!$C$2:$C$31,MATCH(B73,Equipos!$A$2:$A$31,0))</f>
        <v>0.819</v>
      </c>
      <c r="E73" s="13" t="n">
        <f aca="false">(DvP!C73-AVERAGEIFS(DvP!$C$2:$C$151,DvP!$B$2:$B$151,C73))/AVERAGEIFS(DvP!$C$2:$C$151,DvP!$B$2:$B$151,C73)</f>
        <v>0.00446621524276034</v>
      </c>
      <c r="F73" s="13" t="n">
        <f aca="false">(DvP!E73-AVERAGEIFS(DvP!$E$2:$E$151,DvP!$B$2:$B$151,C73))/AVERAGEIFS(DvP!$E$2:$E$151,DvP!$B$2:$B$151,C73)</f>
        <v>0.0191135965278357</v>
      </c>
      <c r="G73" s="13" t="n">
        <f aca="false">(DvP!D73-AVERAGEIFS(DvP!$D$2:$D$151,DvP!$B$2:$B$151,C73))/AVERAGEIFS(DvP!$D$2:$D$151,DvP!$B$2:$B$151,C73)</f>
        <v>-0.0898696546992912</v>
      </c>
      <c r="H73" s="7" t="n">
        <f aca="false">1+MAX(-Parametros!$B$5,MIN(Parametros!$B$5,D73*Parametros!$B$2*E73))</f>
        <v>1.00256048119867</v>
      </c>
      <c r="I73" s="7" t="n">
        <f aca="false">1+MAX(-Parametros!$B$5,MIN(Parametros!$B$5,D73*Parametros!$B$3*F73))</f>
        <v>1.00939242133378</v>
      </c>
      <c r="J73" s="7" t="n">
        <f aca="false">1+MAX(-Parametros!$B$5,MIN(Parametros!$B$5,D73*Parametros!$B$4*G73))</f>
        <v>0.96319837640064</v>
      </c>
    </row>
    <row r="74" customFormat="false" ht="15" hidden="false" customHeight="false" outlineLevel="0" collapsed="false">
      <c r="A74" s="0" t="str">
        <f aca="false">B74&amp;"|"&amp;C74</f>
        <v>Los Angeles Clippers|SF</v>
      </c>
      <c r="B74" s="0" t="str">
        <f aca="false">DvP!A74</f>
        <v>Los Angeles Clippers</v>
      </c>
      <c r="C74" s="0" t="str">
        <f aca="false">DvP!B74</f>
        <v>SF</v>
      </c>
      <c r="D74" s="7" t="n">
        <f aca="false">INDEX(Equipos!$C$2:$C$31,MATCH(B74,Equipos!$A$2:$A$31,0))</f>
        <v>0.63</v>
      </c>
      <c r="E74" s="13" t="n">
        <f aca="false">(DvP!C74-AVERAGEIFS(DvP!$C$2:$C$151,DvP!$B$2:$B$151,C74))/AVERAGEIFS(DvP!$C$2:$C$151,DvP!$B$2:$B$151,C74)</f>
        <v>-0.0197377899438121</v>
      </c>
      <c r="F74" s="13" t="n">
        <f aca="false">(DvP!E74-AVERAGEIFS(DvP!$E$2:$E$151,DvP!$B$2:$B$151,C74))/AVERAGEIFS(DvP!$E$2:$E$151,DvP!$B$2:$B$151,C74)</f>
        <v>-0.0635172356230699</v>
      </c>
      <c r="G74" s="13" t="n">
        <f aca="false">(DvP!D74-AVERAGEIFS(DvP!$D$2:$D$151,DvP!$B$2:$B$151,C74))/AVERAGEIFS(DvP!$D$2:$D$151,DvP!$B$2:$B$151,C74)</f>
        <v>0.0198948090555682</v>
      </c>
      <c r="H74" s="7" t="n">
        <f aca="false">1+MAX(-Parametros!$B$5,MIN(Parametros!$B$5,D74*Parametros!$B$2*E74))</f>
        <v>0.991295634634779</v>
      </c>
      <c r="I74" s="7" t="n">
        <f aca="false">1+MAX(-Parametros!$B$5,MIN(Parametros!$B$5,D74*Parametros!$B$3*F74))</f>
        <v>0.97599048493448</v>
      </c>
      <c r="J74" s="7" t="n">
        <f aca="false">1+MAX(-Parametros!$B$5,MIN(Parametros!$B$5,D74*Parametros!$B$4*G74))</f>
        <v>1.0062668648525</v>
      </c>
    </row>
    <row r="75" customFormat="false" ht="15" hidden="false" customHeight="false" outlineLevel="0" collapsed="false">
      <c r="A75" s="0" t="str">
        <f aca="false">B75&amp;"|"&amp;C75</f>
        <v>Los Angeles Lakers|SF</v>
      </c>
      <c r="B75" s="0" t="str">
        <f aca="false">DvP!A75</f>
        <v>Los Angeles Lakers</v>
      </c>
      <c r="C75" s="0" t="str">
        <f aca="false">DvP!B75</f>
        <v>SF</v>
      </c>
      <c r="D75" s="7" t="n">
        <f aca="false">INDEX(Equipos!$C$2:$C$31,MATCH(B75,Equipos!$A$2:$A$31,0))</f>
        <v>0.453</v>
      </c>
      <c r="E75" s="13" t="n">
        <f aca="false">(DvP!C75-AVERAGEIFS(DvP!$C$2:$C$151,DvP!$B$2:$B$151,C75))/AVERAGEIFS(DvP!$C$2:$C$151,DvP!$B$2:$B$151,C75)</f>
        <v>0.0744849445324881</v>
      </c>
      <c r="F75" s="13" t="n">
        <f aca="false">(DvP!E75-AVERAGEIFS(DvP!$E$2:$E$151,DvP!$B$2:$B$151,C75))/AVERAGEIFS(DvP!$E$2:$E$151,DvP!$B$2:$B$151,C75)</f>
        <v>-0.0760370586762375</v>
      </c>
      <c r="G75" s="13" t="n">
        <f aca="false">(DvP!D75-AVERAGEIFS(DvP!$D$2:$D$151,DvP!$B$2:$B$151,C75))/AVERAGEIFS(DvP!$D$2:$D$151,DvP!$B$2:$B$151,C75)</f>
        <v>0.0221815687171277</v>
      </c>
      <c r="H75" s="7" t="n">
        <f aca="false">1+MAX(-Parametros!$B$5,MIN(Parametros!$B$5,D75*Parametros!$B$2*E75))</f>
        <v>1.02361917591125</v>
      </c>
      <c r="I75" s="7" t="n">
        <f aca="false">1+MAX(-Parametros!$B$5,MIN(Parametros!$B$5,D75*Parametros!$B$3*F75))</f>
        <v>0.979333127451799</v>
      </c>
      <c r="J75" s="7" t="n">
        <f aca="false">1+MAX(-Parametros!$B$5,MIN(Parametros!$B$5,D75*Parametros!$B$4*G75))</f>
        <v>1.00502412531443</v>
      </c>
    </row>
    <row r="76" customFormat="false" ht="15" hidden="false" customHeight="false" outlineLevel="0" collapsed="false">
      <c r="A76" s="0" t="str">
        <f aca="false">B76&amp;"|"&amp;C76</f>
        <v>Memphis Grizzlies|SF</v>
      </c>
      <c r="B76" s="0" t="str">
        <f aca="false">DvP!A76</f>
        <v>Memphis Grizzlies</v>
      </c>
      <c r="C76" s="0" t="str">
        <f aca="false">DvP!B76</f>
        <v>SF</v>
      </c>
      <c r="D76" s="7" t="n">
        <f aca="false">INDEX(Equipos!$C$2:$C$31,MATCH(B76,Equipos!$A$2:$A$31,0))</f>
        <v>0.738</v>
      </c>
      <c r="E76" s="13" t="n">
        <f aca="false">(DvP!C76-AVERAGEIFS(DvP!$C$2:$C$151,DvP!$B$2:$B$151,C76))/AVERAGEIFS(DvP!$C$2:$C$151,DvP!$B$2:$B$151,C76)</f>
        <v>0.0628151563175335</v>
      </c>
      <c r="F76" s="13" t="n">
        <f aca="false">(DvP!E76-AVERAGEIFS(DvP!$E$2:$E$151,DvP!$B$2:$B$151,C76))/AVERAGEIFS(DvP!$E$2:$E$151,DvP!$B$2:$B$151,C76)</f>
        <v>0.105500375594692</v>
      </c>
      <c r="G76" s="13" t="n">
        <f aca="false">(DvP!D76-AVERAGEIFS(DvP!$D$2:$D$151,DvP!$B$2:$B$151,C76))/AVERAGEIFS(DvP!$D$2:$D$151,DvP!$B$2:$B$151,C76)</f>
        <v>0.0907843585639148</v>
      </c>
      <c r="H76" s="7" t="n">
        <f aca="false">1+MAX(-Parametros!$B$5,MIN(Parametros!$B$5,D76*Parametros!$B$2*E76))</f>
        <v>1.03245030975364</v>
      </c>
      <c r="I76" s="7" t="n">
        <f aca="false">1+MAX(-Parametros!$B$5,MIN(Parametros!$B$5,D76*Parametros!$B$3*F76))</f>
        <v>1.04671556631333</v>
      </c>
      <c r="J76" s="7" t="n">
        <f aca="false">1+MAX(-Parametros!$B$5,MIN(Parametros!$B$5,D76*Parametros!$B$4*G76))</f>
        <v>1.03349942831008</v>
      </c>
    </row>
    <row r="77" customFormat="false" ht="15" hidden="false" customHeight="false" outlineLevel="0" collapsed="false">
      <c r="A77" s="0" t="str">
        <f aca="false">B77&amp;"|"&amp;C77</f>
        <v>Miami Heat|SF</v>
      </c>
      <c r="B77" s="0" t="str">
        <f aca="false">DvP!A77</f>
        <v>Miami Heat</v>
      </c>
      <c r="C77" s="0" t="str">
        <f aca="false">DvP!B77</f>
        <v>SF</v>
      </c>
      <c r="D77" s="7" t="n">
        <f aca="false">INDEX(Equipos!$C$2:$C$31,MATCH(B77,Equipos!$A$2:$A$31,0))</f>
        <v>0.579</v>
      </c>
      <c r="E77" s="13" t="n">
        <f aca="false">(DvP!C77-AVERAGEIFS(DvP!$C$2:$C$151,DvP!$B$2:$B$151,C77))/AVERAGEIFS(DvP!$C$2:$C$151,DvP!$B$2:$B$151,C77)</f>
        <v>0.0433655092926092</v>
      </c>
      <c r="F77" s="13" t="n">
        <f aca="false">(DvP!E77-AVERAGEIFS(DvP!$E$2:$E$151,DvP!$B$2:$B$151,C77))/AVERAGEIFS(DvP!$E$2:$E$151,DvP!$B$2:$B$151,C77)</f>
        <v>0.0203655788331525</v>
      </c>
      <c r="G77" s="13" t="n">
        <f aca="false">(DvP!D77-AVERAGEIFS(DvP!$D$2:$D$151,DvP!$B$2:$B$151,C77))/AVERAGEIFS(DvP!$D$2:$D$151,DvP!$B$2:$B$151,C77)</f>
        <v>-0.0464212211296593</v>
      </c>
      <c r="H77" s="7" t="n">
        <f aca="false">1+MAX(-Parametros!$B$5,MIN(Parametros!$B$5,D77*Parametros!$B$2*E77))</f>
        <v>1.01757604091629</v>
      </c>
      <c r="I77" s="7" t="n">
        <f aca="false">1+MAX(-Parametros!$B$5,MIN(Parametros!$B$5,D77*Parametros!$B$3*F77))</f>
        <v>1.00707500208664</v>
      </c>
      <c r="J77" s="7" t="n">
        <f aca="false">1+MAX(-Parametros!$B$5,MIN(Parametros!$B$5,D77*Parametros!$B$4*G77))</f>
        <v>0.986561056482964</v>
      </c>
    </row>
    <row r="78" customFormat="false" ht="15" hidden="false" customHeight="false" outlineLevel="0" collapsed="false">
      <c r="A78" s="0" t="str">
        <f aca="false">B78&amp;"|"&amp;C78</f>
        <v>Milwaukee Bucks|SF</v>
      </c>
      <c r="B78" s="0" t="str">
        <f aca="false">DvP!A78</f>
        <v>Milwaukee Bucks</v>
      </c>
      <c r="C78" s="0" t="str">
        <f aca="false">DvP!B78</f>
        <v>SF</v>
      </c>
      <c r="D78" s="7" t="n">
        <f aca="false">INDEX(Equipos!$C$2:$C$31,MATCH(B78,Equipos!$A$2:$A$31,0))</f>
        <v>0.733</v>
      </c>
      <c r="E78" s="13" t="n">
        <f aca="false">(DvP!C78-AVERAGEIFS(DvP!$C$2:$C$151,DvP!$B$2:$B$151,C78))/AVERAGEIFS(DvP!$C$2:$C$151,DvP!$B$2:$B$151,C78)</f>
        <v>0.0200259328627</v>
      </c>
      <c r="F78" s="13" t="n">
        <f aca="false">(DvP!E78-AVERAGEIFS(DvP!$E$2:$E$151,DvP!$B$2:$B$151,C78))/AVERAGEIFS(DvP!$E$2:$E$151,DvP!$B$2:$B$151,C78)</f>
        <v>0.0579250479926549</v>
      </c>
      <c r="G78" s="13" t="n">
        <f aca="false">(DvP!D78-AVERAGEIFS(DvP!$D$2:$D$151,DvP!$B$2:$B$151,C78))/AVERAGEIFS(DvP!$D$2:$D$151,DvP!$B$2:$B$151,C78)</f>
        <v>0.106791676194832</v>
      </c>
      <c r="H78" s="7" t="n">
        <f aca="false">1+MAX(-Parametros!$B$5,MIN(Parametros!$B$5,D78*Parametros!$B$2*E78))</f>
        <v>1.01027530615185</v>
      </c>
      <c r="I78" s="7" t="n">
        <f aca="false">1+MAX(-Parametros!$B$5,MIN(Parametros!$B$5,D78*Parametros!$B$3*F78))</f>
        <v>1.02547543610717</v>
      </c>
      <c r="J78" s="7" t="n">
        <f aca="false">1+MAX(-Parametros!$B$5,MIN(Parametros!$B$5,D78*Parametros!$B$4*G78))</f>
        <v>1.03913914932541</v>
      </c>
    </row>
    <row r="79" customFormat="false" ht="15" hidden="false" customHeight="false" outlineLevel="0" collapsed="false">
      <c r="A79" s="0" t="str">
        <f aca="false">B79&amp;"|"&amp;C79</f>
        <v>Minnesota Timberwolves|SF</v>
      </c>
      <c r="B79" s="0" t="str">
        <f aca="false">DvP!A79</f>
        <v>Minnesota Timberwolves</v>
      </c>
      <c r="C79" s="0" t="str">
        <f aca="false">DvP!B79</f>
        <v>SF</v>
      </c>
      <c r="D79" s="7" t="n">
        <f aca="false">INDEX(Equipos!$C$2:$C$31,MATCH(B79,Equipos!$A$2:$A$31,0))</f>
        <v>0.671</v>
      </c>
      <c r="E79" s="13" t="n">
        <f aca="false">(DvP!C79-AVERAGEIFS(DvP!$C$2:$C$151,DvP!$B$2:$B$151,C79))/AVERAGEIFS(DvP!$C$2:$C$151,DvP!$B$2:$B$151,C79)</f>
        <v>-0.00633914421553097</v>
      </c>
      <c r="F79" s="13" t="n">
        <f aca="false">(DvP!E79-AVERAGEIFS(DvP!$E$2:$E$151,DvP!$B$2:$B$151,C79))/AVERAGEIFS(DvP!$E$2:$E$151,DvP!$B$2:$B$151,C79)</f>
        <v>-0.0660212002337034</v>
      </c>
      <c r="G79" s="13" t="n">
        <f aca="false">(DvP!D79-AVERAGEIFS(DvP!$D$2:$D$151,DvP!$B$2:$B$151,C79))/AVERAGEIFS(DvP!$D$2:$D$151,DvP!$B$2:$B$151,C79)</f>
        <v>-0.0464212211296593</v>
      </c>
      <c r="H79" s="7" t="n">
        <f aca="false">1+MAX(-Parametros!$B$5,MIN(Parametros!$B$5,D79*Parametros!$B$2*E79))</f>
        <v>0.997022503961965</v>
      </c>
      <c r="I79" s="7" t="n">
        <f aca="false">1+MAX(-Parametros!$B$5,MIN(Parametros!$B$5,D79*Parametros!$B$3*F79))</f>
        <v>0.973419864785911</v>
      </c>
      <c r="J79" s="7" t="n">
        <f aca="false">1+MAX(-Parametros!$B$5,MIN(Parametros!$B$5,D79*Parametros!$B$4*G79))</f>
        <v>0.984425680310999</v>
      </c>
    </row>
    <row r="80" customFormat="false" ht="15" hidden="false" customHeight="false" outlineLevel="0" collapsed="false">
      <c r="A80" s="0" t="str">
        <f aca="false">B80&amp;"|"&amp;C80</f>
        <v>New Orleans Pelicans|SF</v>
      </c>
      <c r="B80" s="0" t="str">
        <f aca="false">DvP!A80</f>
        <v>New Orleans Pelicans</v>
      </c>
      <c r="C80" s="0" t="str">
        <f aca="false">DvP!B80</f>
        <v>SF</v>
      </c>
      <c r="D80" s="7" t="n">
        <f aca="false">INDEX(Equipos!$C$2:$C$31,MATCH(B80,Equipos!$A$2:$A$31,0))</f>
        <v>0.859</v>
      </c>
      <c r="E80" s="13" t="n">
        <f aca="false">(DvP!C80-AVERAGEIFS(DvP!$C$2:$C$151,DvP!$B$2:$B$151,C80))/AVERAGEIFS(DvP!$C$2:$C$151,DvP!$B$2:$B$151,C80)</f>
        <v>0.0671373001008501</v>
      </c>
      <c r="F80" s="13" t="n">
        <f aca="false">(DvP!E80-AVERAGEIFS(DvP!$E$2:$E$151,DvP!$B$2:$B$151,C80))/AVERAGEIFS(DvP!$E$2:$E$151,DvP!$B$2:$B$151,C80)</f>
        <v>0.0316334195810032</v>
      </c>
      <c r="G80" s="13" t="n">
        <f aca="false">(DvP!D80-AVERAGEIFS(DvP!$D$2:$D$151,DvP!$B$2:$B$151,C80))/AVERAGEIFS(DvP!$D$2:$D$151,DvP!$B$2:$B$151,C80)</f>
        <v>0.0244683283786874</v>
      </c>
      <c r="H80" s="7" t="n">
        <f aca="false">1+MAX(-Parametros!$B$5,MIN(Parametros!$B$5,D80*Parametros!$B$2*E80))</f>
        <v>1.04036965855064</v>
      </c>
      <c r="I80" s="7" t="n">
        <f aca="false">1+MAX(-Parametros!$B$5,MIN(Parametros!$B$5,D80*Parametros!$B$3*F80))</f>
        <v>1.01630386445205</v>
      </c>
      <c r="J80" s="7" t="n">
        <f aca="false">1+MAX(-Parametros!$B$5,MIN(Parametros!$B$5,D80*Parametros!$B$4*G80))</f>
        <v>1.01050914703865</v>
      </c>
    </row>
    <row r="81" customFormat="false" ht="15" hidden="false" customHeight="false" outlineLevel="0" collapsed="false">
      <c r="A81" s="0" t="str">
        <f aca="false">B81&amp;"|"&amp;C81</f>
        <v>New York Knicks|SF</v>
      </c>
      <c r="B81" s="0" t="str">
        <f aca="false">DvP!A81</f>
        <v>New York Knicks</v>
      </c>
      <c r="C81" s="0" t="str">
        <f aca="false">DvP!B81</f>
        <v>SF</v>
      </c>
      <c r="D81" s="7" t="n">
        <f aca="false">INDEX(Equipos!$C$2:$C$31,MATCH(B81,Equipos!$A$2:$A$31,0))</f>
        <v>0.93</v>
      </c>
      <c r="E81" s="13" t="n">
        <f aca="false">(DvP!C81-AVERAGEIFS(DvP!$C$2:$C$151,DvP!$B$2:$B$151,C81))/AVERAGEIFS(DvP!$C$2:$C$151,DvP!$B$2:$B$151,C81)</f>
        <v>-0.0521538683186861</v>
      </c>
      <c r="F81" s="13" t="n">
        <f aca="false">(DvP!E81-AVERAGEIFS(DvP!$E$2:$E$151,DvP!$B$2:$B$151,C81))/AVERAGEIFS(DvP!$E$2:$E$151,DvP!$B$2:$B$151,C81)</f>
        <v>0.0241215257491026</v>
      </c>
      <c r="G81" s="13" t="n">
        <f aca="false">(DvP!D81-AVERAGEIFS(DvP!$D$2:$D$151,DvP!$B$2:$B$151,C81))/AVERAGEIFS(DvP!$D$2:$D$151,DvP!$B$2:$B$151,C81)</f>
        <v>-0.101303453007089</v>
      </c>
      <c r="H81" s="7" t="n">
        <f aca="false">1+MAX(-Parametros!$B$5,MIN(Parametros!$B$5,D81*Parametros!$B$2*E81))</f>
        <v>0.966047831724535</v>
      </c>
      <c r="I81" s="7" t="n">
        <f aca="false">1+MAX(-Parametros!$B$5,MIN(Parametros!$B$5,D81*Parametros!$B$3*F81))</f>
        <v>1.013459811368</v>
      </c>
      <c r="J81" s="7" t="n">
        <f aca="false">1+MAX(-Parametros!$B$5,MIN(Parametros!$B$5,D81*Parametros!$B$4*G81))</f>
        <v>0.952893894351704</v>
      </c>
    </row>
    <row r="82" customFormat="false" ht="15" hidden="false" customHeight="false" outlineLevel="0" collapsed="false">
      <c r="A82" s="0" t="str">
        <f aca="false">B82&amp;"|"&amp;C82</f>
        <v>Oklahoma City Thunder|SF</v>
      </c>
      <c r="B82" s="0" t="str">
        <f aca="false">DvP!A82</f>
        <v>Oklahoma City Thunder</v>
      </c>
      <c r="C82" s="0" t="str">
        <f aca="false">DvP!B82</f>
        <v>SF</v>
      </c>
      <c r="D82" s="7" t="n">
        <f aca="false">INDEX(Equipos!$C$2:$C$31,MATCH(B82,Equipos!$A$2:$A$31,0))</f>
        <v>0.873</v>
      </c>
      <c r="E82" s="13" t="n">
        <f aca="false">(DvP!C82-AVERAGEIFS(DvP!$C$2:$C$151,DvP!$B$2:$B$151,C82))/AVERAGEIFS(DvP!$C$2:$C$151,DvP!$B$2:$B$151,C82)</f>
        <v>-0.0962397349085146</v>
      </c>
      <c r="F82" s="13" t="n">
        <f aca="false">(DvP!E82-AVERAGEIFS(DvP!$E$2:$E$151,DvP!$B$2:$B$151,C82))/AVERAGEIFS(DvP!$E$2:$E$151,DvP!$B$2:$B$151,C82)</f>
        <v>-0.0196978549369836</v>
      </c>
      <c r="G82" s="13" t="n">
        <f aca="false">(DvP!D82-AVERAGEIFS(DvP!$D$2:$D$151,DvP!$B$2:$B$151,C82))/AVERAGEIFS(DvP!$D$2:$D$151,DvP!$B$2:$B$151,C82)</f>
        <v>-0.128744568945804</v>
      </c>
      <c r="H82" s="7" t="n">
        <f aca="false">1+MAX(-Parametros!$B$5,MIN(Parametros!$B$5,D82*Parametros!$B$2*E82))</f>
        <v>0.941187897997407</v>
      </c>
      <c r="I82" s="7" t="n">
        <f aca="false">1+MAX(-Parametros!$B$5,MIN(Parametros!$B$5,D82*Parametros!$B$3*F82))</f>
        <v>0.989682263584008</v>
      </c>
      <c r="J82" s="7" t="n">
        <f aca="false">1+MAX(-Parametros!$B$5,MIN(Parametros!$B$5,D82*Parametros!$B$4*G82))</f>
        <v>0.943802995655157</v>
      </c>
    </row>
    <row r="83" customFormat="false" ht="15" hidden="false" customHeight="false" outlineLevel="0" collapsed="false">
      <c r="A83" s="0" t="str">
        <f aca="false">B83&amp;"|"&amp;C83</f>
        <v>Orlando Magic|SF</v>
      </c>
      <c r="B83" s="0" t="str">
        <f aca="false">DvP!A83</f>
        <v>Orlando Magic</v>
      </c>
      <c r="C83" s="0" t="str">
        <f aca="false">DvP!B83</f>
        <v>SF</v>
      </c>
      <c r="D83" s="7" t="n">
        <f aca="false">INDEX(Equipos!$C$2:$C$31,MATCH(B83,Equipos!$A$2:$A$31,0))</f>
        <v>0.915</v>
      </c>
      <c r="E83" s="13" t="n">
        <f aca="false">(DvP!C83-AVERAGEIFS(DvP!$C$2:$C$151,DvP!$B$2:$B$151,C83))/AVERAGEIFS(DvP!$C$2:$C$151,DvP!$B$2:$B$151,C83)</f>
        <v>0.048552081832589</v>
      </c>
      <c r="F83" s="13" t="n">
        <f aca="false">(DvP!E83-AVERAGEIFS(DvP!$E$2:$E$151,DvP!$B$2:$B$151,C83))/AVERAGEIFS(DvP!$E$2:$E$151,DvP!$B$2:$B$151,C83)</f>
        <v>0.0967364994574742</v>
      </c>
      <c r="G83" s="13" t="n">
        <f aca="false">(DvP!D83-AVERAGEIFS(DvP!$D$2:$D$151,DvP!$B$2:$B$151,C83))/AVERAGEIFS(DvP!$D$2:$D$151,DvP!$B$2:$B$151,C83)</f>
        <v>-0.0738623370683742</v>
      </c>
      <c r="H83" s="7" t="n">
        <f aca="false">1+MAX(-Parametros!$B$5,MIN(Parametros!$B$5,D83*Parametros!$B$2*E83))</f>
        <v>1.03109760841377</v>
      </c>
      <c r="I83" s="7" t="n">
        <f aca="false">1+MAX(-Parametros!$B$5,MIN(Parametros!$B$5,D83*Parametros!$B$3*F83))</f>
        <v>1.05310833820215</v>
      </c>
      <c r="J83" s="7" t="n">
        <f aca="false">1+MAX(-Parametros!$B$5,MIN(Parametros!$B$5,D83*Parametros!$B$4*G83))</f>
        <v>0.966207980791219</v>
      </c>
    </row>
    <row r="84" customFormat="false" ht="15" hidden="false" customHeight="false" outlineLevel="0" collapsed="false">
      <c r="A84" s="0" t="str">
        <f aca="false">B84&amp;"|"&amp;C84</f>
        <v>Philadelphia 76ers|SF</v>
      </c>
      <c r="B84" s="0" t="str">
        <f aca="false">DvP!A84</f>
        <v>Philadelphia 76ers</v>
      </c>
      <c r="C84" s="0" t="str">
        <f aca="false">DvP!B84</f>
        <v>SF</v>
      </c>
      <c r="D84" s="7" t="n">
        <f aca="false">INDEX(Equipos!$C$2:$C$31,MATCH(B84,Equipos!$A$2:$A$31,0))</f>
        <v>0.583</v>
      </c>
      <c r="E84" s="13" t="n">
        <f aca="false">(DvP!C84-AVERAGEIFS(DvP!$C$2:$C$151,DvP!$B$2:$B$151,C84))/AVERAGEIFS(DvP!$C$2:$C$151,DvP!$B$2:$B$151,C84)</f>
        <v>0.0118138596743985</v>
      </c>
      <c r="F84" s="13" t="n">
        <f aca="false">(DvP!E84-AVERAGEIFS(DvP!$E$2:$E$151,DvP!$B$2:$B$151,C84))/AVERAGEIFS(DvP!$E$2:$E$151,DvP!$B$2:$B$151,C84)</f>
        <v>-0.0109339787997663</v>
      </c>
      <c r="G84" s="13" t="n">
        <f aca="false">(DvP!D84-AVERAGEIFS(DvP!$D$2:$D$151,DvP!$B$2:$B$151,C84))/AVERAGEIFS(DvP!$D$2:$D$151,DvP!$B$2:$B$151,C84)</f>
        <v>0.104504916533272</v>
      </c>
      <c r="H84" s="7" t="n">
        <f aca="false">1+MAX(-Parametros!$B$5,MIN(Parametros!$B$5,D84*Parametros!$B$2*E84))</f>
        <v>1.00482123613312</v>
      </c>
      <c r="I84" s="7" t="n">
        <f aca="false">1+MAX(-Parametros!$B$5,MIN(Parametros!$B$5,D84*Parametros!$B$3*F84))</f>
        <v>0.996175294215842</v>
      </c>
      <c r="J84" s="7" t="n">
        <f aca="false">1+MAX(-Parametros!$B$5,MIN(Parametros!$B$5,D84*Parametros!$B$4*G84))</f>
        <v>1.03046318316945</v>
      </c>
    </row>
    <row r="85" customFormat="false" ht="15" hidden="false" customHeight="false" outlineLevel="0" collapsed="false">
      <c r="A85" s="0" t="str">
        <f aca="false">B85&amp;"|"&amp;C85</f>
        <v>Phoenix Suns|SF</v>
      </c>
      <c r="B85" s="0" t="str">
        <f aca="false">DvP!A85</f>
        <v>Phoenix Suns</v>
      </c>
      <c r="C85" s="0" t="str">
        <f aca="false">DvP!B85</f>
        <v>SF</v>
      </c>
      <c r="D85" s="7" t="n">
        <f aca="false">INDEX(Equipos!$C$2:$C$31,MATCH(B85,Equipos!$A$2:$A$31,0))</f>
        <v>0.83</v>
      </c>
      <c r="E85" s="13" t="n">
        <f aca="false">(DvP!C85-AVERAGEIFS(DvP!$C$2:$C$151,DvP!$B$2:$B$151,C85))/AVERAGEIFS(DvP!$C$2:$C$151,DvP!$B$2:$B$151,C85)</f>
        <v>0.0100850021610719</v>
      </c>
      <c r="F85" s="13" t="n">
        <f aca="false">(DvP!E85-AVERAGEIFS(DvP!$E$2:$E$151,DvP!$B$2:$B$151,C85))/AVERAGEIFS(DvP!$E$2:$E$151,DvP!$B$2:$B$151,C85)</f>
        <v>-0.0234538018529339</v>
      </c>
      <c r="G85" s="13" t="n">
        <f aca="false">(DvP!D85-AVERAGEIFS(DvP!$D$2:$D$151,DvP!$B$2:$B$151,C85))/AVERAGEIFS(DvP!$D$2:$D$151,DvP!$B$2:$B$151,C85)</f>
        <v>0.0747770409329979</v>
      </c>
      <c r="H85" s="7" t="n">
        <f aca="false">1+MAX(-Parametros!$B$5,MIN(Parametros!$B$5,D85*Parametros!$B$2*E85))</f>
        <v>1.00585938625558</v>
      </c>
      <c r="I85" s="7" t="n">
        <f aca="false">1+MAX(-Parametros!$B$5,MIN(Parametros!$B$5,D85*Parametros!$B$3*F85))</f>
        <v>0.988320006677239</v>
      </c>
      <c r="J85" s="7" t="n">
        <f aca="false">1+MAX(-Parametros!$B$5,MIN(Parametros!$B$5,D85*Parametros!$B$4*G85))</f>
        <v>1.03103247198719</v>
      </c>
    </row>
    <row r="86" customFormat="false" ht="15" hidden="false" customHeight="false" outlineLevel="0" collapsed="false">
      <c r="A86" s="0" t="str">
        <f aca="false">B86&amp;"|"&amp;C86</f>
        <v>Portland Trail Blazers|SF</v>
      </c>
      <c r="B86" s="0" t="str">
        <f aca="false">DvP!A86</f>
        <v>Portland Trail Blazers</v>
      </c>
      <c r="C86" s="0" t="str">
        <f aca="false">DvP!B86</f>
        <v>SF</v>
      </c>
      <c r="D86" s="7" t="n">
        <f aca="false">INDEX(Equipos!$C$2:$C$31,MATCH(B86,Equipos!$A$2:$A$31,0))</f>
        <v>0.779</v>
      </c>
      <c r="E86" s="13" t="n">
        <f aca="false">(DvP!C86-AVERAGEIFS(DvP!$C$2:$C$151,DvP!$B$2:$B$151,C86))/AVERAGEIFS(DvP!$C$2:$C$151,DvP!$B$2:$B$151,C86)</f>
        <v>-0.00806800172885755</v>
      </c>
      <c r="F86" s="13" t="n">
        <f aca="false">(DvP!E86-AVERAGEIFS(DvP!$E$2:$E$151,DvP!$B$2:$B$151,C86))/AVERAGEIFS(DvP!$E$2:$E$151,DvP!$B$2:$B$151,C86)</f>
        <v>0.0817127117936733</v>
      </c>
      <c r="G86" s="13" t="n">
        <f aca="false">(DvP!D86-AVERAGEIFS(DvP!$D$2:$D$151,DvP!$B$2:$B$151,C86))/AVERAGEIFS(DvP!$D$2:$D$151,DvP!$B$2:$B$151,C86)</f>
        <v>-0.0464212211296593</v>
      </c>
      <c r="H86" s="7" t="n">
        <f aca="false">1+MAX(-Parametros!$B$5,MIN(Parametros!$B$5,D86*Parametros!$B$2*E86))</f>
        <v>0.995600518657254</v>
      </c>
      <c r="I86" s="7" t="n">
        <f aca="false">1+MAX(-Parametros!$B$5,MIN(Parametros!$B$5,D86*Parametros!$B$3*F86))</f>
        <v>1.03819252149236</v>
      </c>
      <c r="J86" s="7" t="n">
        <f aca="false">1+MAX(-Parametros!$B$5,MIN(Parametros!$B$5,D86*Parametros!$B$4*G86))</f>
        <v>0.981918934369998</v>
      </c>
    </row>
    <row r="87" customFormat="false" ht="15" hidden="false" customHeight="false" outlineLevel="0" collapsed="false">
      <c r="A87" s="0" t="str">
        <f aca="false">B87&amp;"|"&amp;C87</f>
        <v>Sacramento Kings|SF</v>
      </c>
      <c r="B87" s="0" t="str">
        <f aca="false">DvP!A87</f>
        <v>Sacramento Kings</v>
      </c>
      <c r="C87" s="0" t="str">
        <f aca="false">DvP!B87</f>
        <v>SF</v>
      </c>
      <c r="D87" s="7" t="n">
        <f aca="false">INDEX(Equipos!$C$2:$C$31,MATCH(B87,Equipos!$A$2:$A$31,0))</f>
        <v>0.903</v>
      </c>
      <c r="E87" s="13" t="n">
        <f aca="false">(DvP!C87-AVERAGEIFS(DvP!$C$2:$C$151,DvP!$B$2:$B$151,C87))/AVERAGEIFS(DvP!$C$2:$C$151,DvP!$B$2:$B$151,C87)</f>
        <v>0.0269413629160064</v>
      </c>
      <c r="F87" s="13" t="n">
        <f aca="false">(DvP!E87-AVERAGEIFS(DvP!$E$2:$E$151,DvP!$B$2:$B$151,C87))/AVERAGEIFS(DvP!$E$2:$E$151,DvP!$B$2:$B$151,C87)</f>
        <v>-0.141140138552708</v>
      </c>
      <c r="G87" s="13" t="n">
        <f aca="false">(DvP!D87-AVERAGEIFS(DvP!$D$2:$D$151,DvP!$B$2:$B$151,C87))/AVERAGEIFS(DvP!$D$2:$D$151,DvP!$B$2:$B$151,C87)</f>
        <v>-0.00525954722158714</v>
      </c>
      <c r="H87" s="7" t="n">
        <f aca="false">1+MAX(-Parametros!$B$5,MIN(Parametros!$B$5,D87*Parametros!$B$2*E87))</f>
        <v>1.01702963549921</v>
      </c>
      <c r="I87" s="7" t="n">
        <f aca="false">1+MAX(-Parametros!$B$5,MIN(Parametros!$B$5,D87*Parametros!$B$3*F87))</f>
        <v>0.923530272932143</v>
      </c>
      <c r="J87" s="7" t="n">
        <f aca="false">1+MAX(-Parametros!$B$5,MIN(Parametros!$B$5,D87*Parametros!$B$4*G87))</f>
        <v>0.997625314429454</v>
      </c>
    </row>
    <row r="88" customFormat="false" ht="15" hidden="false" customHeight="false" outlineLevel="0" collapsed="false">
      <c r="A88" s="0" t="str">
        <f aca="false">B88&amp;"|"&amp;C88</f>
        <v>San Antonio Spurs|SF</v>
      </c>
      <c r="B88" s="0" t="str">
        <f aca="false">DvP!A88</f>
        <v>San Antonio Spurs</v>
      </c>
      <c r="C88" s="0" t="str">
        <f aca="false">DvP!B88</f>
        <v>SF</v>
      </c>
      <c r="D88" s="7" t="n">
        <f aca="false">INDEX(Equipos!$C$2:$C$31,MATCH(B88,Equipos!$A$2:$A$31,0))</f>
        <v>0.926</v>
      </c>
      <c r="E88" s="13" t="n">
        <f aca="false">(DvP!C88-AVERAGEIFS(DvP!$C$2:$C$151,DvP!$B$2:$B$151,C88))/AVERAGEIFS(DvP!$C$2:$C$151,DvP!$B$2:$B$151,C88)</f>
        <v>-0.00590692983719925</v>
      </c>
      <c r="F88" s="13" t="n">
        <f aca="false">(DvP!E88-AVERAGEIFS(DvP!$E$2:$E$151,DvP!$B$2:$B$151,C88))/AVERAGEIFS(DvP!$E$2:$E$151,DvP!$B$2:$B$151,C88)</f>
        <v>-0.00342208496786586</v>
      </c>
      <c r="G88" s="13" t="n">
        <f aca="false">(DvP!D88-AVERAGEIFS(DvP!$D$2:$D$151,DvP!$B$2:$B$151,C88))/AVERAGEIFS(DvP!$D$2:$D$151,DvP!$B$2:$B$151,C88)</f>
        <v>-0.0349874228218615</v>
      </c>
      <c r="H88" s="7" t="n">
        <f aca="false">1+MAX(-Parametros!$B$5,MIN(Parametros!$B$5,D88*Parametros!$B$2*E88))</f>
        <v>0.996171128079528</v>
      </c>
      <c r="I88" s="7" t="n">
        <f aca="false">1+MAX(-Parametros!$B$5,MIN(Parametros!$B$5,D88*Parametros!$B$3*F88))</f>
        <v>0.998098689591854</v>
      </c>
      <c r="J88" s="7" t="n">
        <f aca="false">1+MAX(-Parametros!$B$5,MIN(Parametros!$B$5,D88*Parametros!$B$4*G88))</f>
        <v>0.983800823233478</v>
      </c>
    </row>
    <row r="89" customFormat="false" ht="15" hidden="false" customHeight="false" outlineLevel="0" collapsed="false">
      <c r="A89" s="0" t="str">
        <f aca="false">B89&amp;"|"&amp;C89</f>
        <v>Toronto Raptors|SF</v>
      </c>
      <c r="B89" s="0" t="str">
        <f aca="false">DvP!A89</f>
        <v>Toronto Raptors</v>
      </c>
      <c r="C89" s="0" t="str">
        <f aca="false">DvP!B89</f>
        <v>SF</v>
      </c>
      <c r="D89" s="7" t="n">
        <f aca="false">INDEX(Equipos!$C$2:$C$31,MATCH(B89,Equipos!$A$2:$A$31,0))</f>
        <v>0.734</v>
      </c>
      <c r="E89" s="13" t="n">
        <f aca="false">(DvP!C89-AVERAGEIFS(DvP!$C$2:$C$151,DvP!$B$2:$B$151,C89))/AVERAGEIFS(DvP!$C$2:$C$151,DvP!$B$2:$B$151,C89)</f>
        <v>-0.0837055179368967</v>
      </c>
      <c r="F89" s="13" t="n">
        <f aca="false">(DvP!E89-AVERAGEIFS(DvP!$E$2:$E$151,DvP!$B$2:$B$151,C89))/AVERAGEIFS(DvP!$E$2:$E$151,DvP!$B$2:$B$151,C89)</f>
        <v>-0.0484934479592689</v>
      </c>
      <c r="G89" s="13" t="n">
        <f aca="false">(DvP!D89-AVERAGEIFS(DvP!$D$2:$D$151,DvP!$B$2:$B$151,C89))/AVERAGEIFS(DvP!$D$2:$D$151,DvP!$B$2:$B$151,C89)</f>
        <v>-0.0761490967299337</v>
      </c>
      <c r="H89" s="7" t="n">
        <f aca="false">1+MAX(-Parametros!$B$5,MIN(Parametros!$B$5,D89*Parametros!$B$2*E89))</f>
        <v>0.956992104884022</v>
      </c>
      <c r="I89" s="7" t="n">
        <f aca="false">1+MAX(-Parametros!$B$5,MIN(Parametros!$B$5,D89*Parametros!$B$3*F89))</f>
        <v>0.978643485518738</v>
      </c>
      <c r="J89" s="7" t="n">
        <f aca="false">1+MAX(-Parametros!$B$5,MIN(Parametros!$B$5,D89*Parametros!$B$4*G89))</f>
        <v>0.972053281500114</v>
      </c>
    </row>
    <row r="90" customFormat="false" ht="15" hidden="false" customHeight="false" outlineLevel="0" collapsed="false">
      <c r="A90" s="0" t="str">
        <f aca="false">B90&amp;"|"&amp;C90</f>
        <v>Utah Jazz|SF</v>
      </c>
      <c r="B90" s="0" t="str">
        <f aca="false">DvP!A90</f>
        <v>Utah Jazz</v>
      </c>
      <c r="C90" s="0" t="str">
        <f aca="false">DvP!B90</f>
        <v>SF</v>
      </c>
      <c r="D90" s="7" t="n">
        <f aca="false">INDEX(Equipos!$C$2:$C$31,MATCH(B90,Equipos!$A$2:$A$31,0))</f>
        <v>0.841</v>
      </c>
      <c r="E90" s="13" t="n">
        <f aca="false">(DvP!C90-AVERAGEIFS(DvP!$C$2:$C$151,DvP!$B$2:$B$151,C90))/AVERAGEIFS(DvP!$C$2:$C$151,DvP!$B$2:$B$151,C90)</f>
        <v>0.143639245065553</v>
      </c>
      <c r="F90" s="13" t="n">
        <f aca="false">(DvP!E90-AVERAGEIFS(DvP!$E$2:$E$151,DvP!$B$2:$B$151,C90))/AVERAGEIFS(DvP!$E$2:$E$151,DvP!$B$2:$B$151,C90)</f>
        <v>0.0153576496118853</v>
      </c>
      <c r="G90" s="13" t="n">
        <f aca="false">(DvP!D90-AVERAGEIFS(DvP!$D$2:$D$151,DvP!$B$2:$B$151,C90))/AVERAGEIFS(DvP!$D$2:$D$151,DvP!$B$2:$B$151,C90)</f>
        <v>0.324033844042991</v>
      </c>
      <c r="H90" s="7" t="n">
        <f aca="false">1+MAX(-Parametros!$B$5,MIN(Parametros!$B$5,D90*Parametros!$B$2*E90))</f>
        <v>1.08456042357009</v>
      </c>
      <c r="I90" s="7" t="n">
        <f aca="false">1+MAX(-Parametros!$B$5,MIN(Parametros!$B$5,D90*Parametros!$B$3*F90))</f>
        <v>1.00774946999416</v>
      </c>
      <c r="J90" s="7" t="n">
        <f aca="false">1+MAX(-Parametros!$B$5,MIN(Parametros!$B$5,D90*Parametros!$B$4*G90))</f>
        <v>1.12</v>
      </c>
    </row>
    <row r="91" customFormat="false" ht="15" hidden="false" customHeight="false" outlineLevel="0" collapsed="false">
      <c r="A91" s="0" t="str">
        <f aca="false">B91&amp;"|"&amp;C91</f>
        <v>Washington Wizards|SF</v>
      </c>
      <c r="B91" s="0" t="str">
        <f aca="false">DvP!A91</f>
        <v>Washington Wizards</v>
      </c>
      <c r="C91" s="0" t="str">
        <f aca="false">DvP!B91</f>
        <v>SF</v>
      </c>
      <c r="D91" s="7" t="n">
        <f aca="false">INDEX(Equipos!$C$2:$C$31,MATCH(B91,Equipos!$A$2:$A$31,0))</f>
        <v>0.841</v>
      </c>
      <c r="E91" s="13" t="n">
        <f aca="false">(DvP!C91-AVERAGEIFS(DvP!$C$2:$C$151,DvP!$B$2:$B$151,C91))/AVERAGEIFS(DvP!$C$2:$C$151,DvP!$B$2:$B$151,C91)</f>
        <v>0.0563319406425588</v>
      </c>
      <c r="F91" s="13" t="n">
        <f aca="false">(DvP!E91-AVERAGEIFS(DvP!$E$2:$E$151,DvP!$B$2:$B$151,C91))/AVERAGEIFS(DvP!$E$2:$E$151,DvP!$B$2:$B$151,C91)</f>
        <v>0.130540021701026</v>
      </c>
      <c r="G91" s="13" t="n">
        <f aca="false">(DvP!D91-AVERAGEIFS(DvP!$D$2:$D$151,DvP!$B$2:$B$151,C91))/AVERAGEIFS(DvP!$D$2:$D$151,DvP!$B$2:$B$151,C91)</f>
        <v>0.11822547450263</v>
      </c>
      <c r="H91" s="7" t="n">
        <f aca="false">1+MAX(-Parametros!$B$5,MIN(Parametros!$B$5,D91*Parametros!$B$2*E91))</f>
        <v>1.03316261345627</v>
      </c>
      <c r="I91" s="7" t="n">
        <f aca="false">1+MAX(-Parametros!$B$5,MIN(Parametros!$B$5,D91*Parametros!$B$3*F91))</f>
        <v>1.06587049495034</v>
      </c>
      <c r="J91" s="7" t="n">
        <f aca="false">1+MAX(-Parametros!$B$5,MIN(Parametros!$B$5,D91*Parametros!$B$4*G91))</f>
        <v>1.04971381202836</v>
      </c>
    </row>
    <row r="92" customFormat="false" ht="15" hidden="false" customHeight="false" outlineLevel="0" collapsed="false">
      <c r="A92" s="0" t="str">
        <f aca="false">B92&amp;"|"&amp;C92</f>
        <v>Atlanta Hawks|PF</v>
      </c>
      <c r="B92" s="0" t="str">
        <f aca="false">DvP!A92</f>
        <v>Atlanta Hawks</v>
      </c>
      <c r="C92" s="0" t="str">
        <f aca="false">DvP!B92</f>
        <v>PF</v>
      </c>
      <c r="D92" s="7" t="n">
        <f aca="false">INDEX(Equipos!$C$2:$C$31,MATCH(B92,Equipos!$A$2:$A$31,0))</f>
        <v>0.738</v>
      </c>
      <c r="E92" s="13" t="n">
        <f aca="false">(DvP!C92-AVERAGEIFS(DvP!$C$2:$C$151,DvP!$B$2:$B$151,C92))/AVERAGEIFS(DvP!$C$2:$C$151,DvP!$B$2:$B$151,C92)</f>
        <v>-0.0463699817721069</v>
      </c>
      <c r="F92" s="13" t="n">
        <f aca="false">(DvP!E92-AVERAGEIFS(DvP!$E$2:$E$151,DvP!$B$2:$B$151,C92))/AVERAGEIFS(DvP!$E$2:$E$151,DvP!$B$2:$B$151,C92)</f>
        <v>0.10138058932619</v>
      </c>
      <c r="G92" s="13" t="n">
        <f aca="false">(DvP!D92-AVERAGEIFS(DvP!$D$2:$D$151,DvP!$B$2:$B$151,C92))/AVERAGEIFS(DvP!$D$2:$D$151,DvP!$B$2:$B$151,C92)</f>
        <v>0.0778303716924032</v>
      </c>
      <c r="H92" s="7" t="n">
        <f aca="false">1+MAX(-Parametros!$B$5,MIN(Parametros!$B$5,D92*Parametros!$B$2*E92))</f>
        <v>0.97604526741653</v>
      </c>
      <c r="I92" s="7" t="n">
        <f aca="false">1+MAX(-Parametros!$B$5,MIN(Parametros!$B$5,D92*Parametros!$B$3*F92))</f>
        <v>1.04489132495364</v>
      </c>
      <c r="J92" s="7" t="n">
        <f aca="false">1+MAX(-Parametros!$B$5,MIN(Parametros!$B$5,D92*Parametros!$B$4*G92))</f>
        <v>1.0287194071545</v>
      </c>
    </row>
    <row r="93" customFormat="false" ht="15" hidden="false" customHeight="false" outlineLevel="0" collapsed="false">
      <c r="A93" s="0" t="str">
        <f aca="false">B93&amp;"|"&amp;C93</f>
        <v>Brooklyn Nets|PF</v>
      </c>
      <c r="B93" s="0" t="str">
        <f aca="false">DvP!A93</f>
        <v>Brooklyn Nets</v>
      </c>
      <c r="C93" s="0" t="str">
        <f aca="false">DvP!B93</f>
        <v>PF</v>
      </c>
      <c r="D93" s="7" t="n">
        <f aca="false">INDEX(Equipos!$C$2:$C$31,MATCH(B93,Equipos!$A$2:$A$31,0))</f>
        <v>0.822</v>
      </c>
      <c r="E93" s="13" t="n">
        <f aca="false">(DvP!C93-AVERAGEIFS(DvP!$C$2:$C$151,DvP!$B$2:$B$151,C93))/AVERAGEIFS(DvP!$C$2:$C$151,DvP!$B$2:$B$151,C93)</f>
        <v>0.0309874183079181</v>
      </c>
      <c r="F93" s="13" t="n">
        <f aca="false">(DvP!E93-AVERAGEIFS(DvP!$E$2:$E$151,DvP!$B$2:$B$151,C93))/AVERAGEIFS(DvP!$E$2:$E$151,DvP!$B$2:$B$151,C93)</f>
        <v>0.0302905419328251</v>
      </c>
      <c r="G93" s="13" t="n">
        <f aca="false">(DvP!D93-AVERAGEIFS(DvP!$D$2:$D$151,DvP!$B$2:$B$151,C93))/AVERAGEIFS(DvP!$D$2:$D$151,DvP!$B$2:$B$151,C93)</f>
        <v>0.094125863273066</v>
      </c>
      <c r="H93" s="7" t="n">
        <f aca="false">1+MAX(-Parametros!$B$5,MIN(Parametros!$B$5,D93*Parametros!$B$2*E93))</f>
        <v>1.01783016049438</v>
      </c>
      <c r="I93" s="7" t="n">
        <f aca="false">1+MAX(-Parametros!$B$5,MIN(Parametros!$B$5,D93*Parametros!$B$3*F93))</f>
        <v>1.01493929528127</v>
      </c>
      <c r="J93" s="7" t="n">
        <f aca="false">1+MAX(-Parametros!$B$5,MIN(Parametros!$B$5,D93*Parametros!$B$4*G93))</f>
        <v>1.03868572980523</v>
      </c>
    </row>
    <row r="94" customFormat="false" ht="15" hidden="false" customHeight="false" outlineLevel="0" collapsed="false">
      <c r="A94" s="0" t="str">
        <f aca="false">B94&amp;"|"&amp;C94</f>
        <v>Boston Celtics|PF</v>
      </c>
      <c r="B94" s="0" t="str">
        <f aca="false">DvP!A94</f>
        <v>Boston Celtics</v>
      </c>
      <c r="C94" s="0" t="str">
        <f aca="false">DvP!B94</f>
        <v>PF</v>
      </c>
      <c r="D94" s="7" t="n">
        <f aca="false">INDEX(Equipos!$C$2:$C$31,MATCH(B94,Equipos!$A$2:$A$31,0))</f>
        <v>0.753</v>
      </c>
      <c r="E94" s="13" t="n">
        <f aca="false">(DvP!C94-AVERAGEIFS(DvP!$C$2:$C$151,DvP!$B$2:$B$151,C94))/AVERAGEIFS(DvP!$C$2:$C$151,DvP!$B$2:$B$151,C94)</f>
        <v>-0.0210287645045125</v>
      </c>
      <c r="F94" s="13" t="n">
        <f aca="false">(DvP!E94-AVERAGEIFS(DvP!$E$2:$E$151,DvP!$B$2:$B$151,C94))/AVERAGEIFS(DvP!$E$2:$E$151,DvP!$B$2:$B$151,C94)</f>
        <v>-0.0686173500927262</v>
      </c>
      <c r="G94" s="13" t="n">
        <f aca="false">(DvP!D94-AVERAGEIFS(DvP!$D$2:$D$151,DvP!$B$2:$B$151,C94))/AVERAGEIFS(DvP!$D$2:$D$151,DvP!$B$2:$B$151,C94)</f>
        <v>-0.0874524714828897</v>
      </c>
      <c r="H94" s="7" t="n">
        <f aca="false">1+MAX(-Parametros!$B$5,MIN(Parametros!$B$5,D94*Parametros!$B$2*E94))</f>
        <v>0.988915738229672</v>
      </c>
      <c r="I94" s="7" t="n">
        <f aca="false">1+MAX(-Parametros!$B$5,MIN(Parametros!$B$5,D94*Parametros!$B$3*F94))</f>
        <v>0.968998681228106</v>
      </c>
      <c r="J94" s="7" t="n">
        <f aca="false">1+MAX(-Parametros!$B$5,MIN(Parametros!$B$5,D94*Parametros!$B$4*G94))</f>
        <v>0.967074144486692</v>
      </c>
    </row>
    <row r="95" customFormat="false" ht="15" hidden="false" customHeight="false" outlineLevel="0" collapsed="false">
      <c r="A95" s="0" t="str">
        <f aca="false">B95&amp;"|"&amp;C95</f>
        <v>Charlotte Hornets|PF</v>
      </c>
      <c r="B95" s="0" t="str">
        <f aca="false">DvP!A95</f>
        <v>Charlotte Hornets</v>
      </c>
      <c r="C95" s="0" t="str">
        <f aca="false">DvP!B95</f>
        <v>PF</v>
      </c>
      <c r="D95" s="7" t="n">
        <f aca="false">INDEX(Equipos!$C$2:$C$31,MATCH(B95,Equipos!$A$2:$A$31,0))</f>
        <v>0.628</v>
      </c>
      <c r="E95" s="13" t="n">
        <f aca="false">(DvP!C95-AVERAGEIFS(DvP!$C$2:$C$151,DvP!$B$2:$B$151,C95))/AVERAGEIFS(DvP!$C$2:$C$151,DvP!$B$2:$B$151,C95)</f>
        <v>0.0598852976481573</v>
      </c>
      <c r="F95" s="13" t="n">
        <f aca="false">(DvP!E95-AVERAGEIFS(DvP!$E$2:$E$151,DvP!$B$2:$B$151,C95))/AVERAGEIFS(DvP!$E$2:$E$151,DvP!$B$2:$B$151,C95)</f>
        <v>-0.107768390686173</v>
      </c>
      <c r="G95" s="13" t="n">
        <f aca="false">(DvP!D95-AVERAGEIFS(DvP!$D$2:$D$151,DvP!$B$2:$B$151,C95))/AVERAGEIFS(DvP!$D$2:$D$151,DvP!$B$2:$B$151,C95)</f>
        <v>0.0755024443237372</v>
      </c>
      <c r="H95" s="7" t="n">
        <f aca="false">1+MAX(-Parametros!$B$5,MIN(Parametros!$B$5,D95*Parametros!$B$2*E95))</f>
        <v>1.02632557684613</v>
      </c>
      <c r="I95" s="7" t="n">
        <f aca="false">1+MAX(-Parametros!$B$5,MIN(Parametros!$B$5,D95*Parametros!$B$3*F95))</f>
        <v>0.95939287038945</v>
      </c>
      <c r="J95" s="7" t="n">
        <f aca="false">1+MAX(-Parametros!$B$5,MIN(Parametros!$B$5,D95*Parametros!$B$4*G95))</f>
        <v>1.02370776751765</v>
      </c>
    </row>
    <row r="96" customFormat="false" ht="15" hidden="false" customHeight="false" outlineLevel="0" collapsed="false">
      <c r="A96" s="0" t="str">
        <f aca="false">B96&amp;"|"&amp;C96</f>
        <v>Chicago Bulls|PF</v>
      </c>
      <c r="B96" s="0" t="str">
        <f aca="false">DvP!A96</f>
        <v>Chicago Bulls</v>
      </c>
      <c r="C96" s="0" t="str">
        <f aca="false">DvP!B96</f>
        <v>PF</v>
      </c>
      <c r="D96" s="7" t="n">
        <f aca="false">INDEX(Equipos!$C$2:$C$31,MATCH(B96,Equipos!$A$2:$A$31,0))</f>
        <v>0.627</v>
      </c>
      <c r="E96" s="13" t="n">
        <f aca="false">(DvP!C96-AVERAGEIFS(DvP!$C$2:$C$151,DvP!$B$2:$B$151,C96))/AVERAGEIFS(DvP!$C$2:$C$151,DvP!$B$2:$B$151,C96)</f>
        <v>0.126128128751167</v>
      </c>
      <c r="F96" s="13" t="n">
        <f aca="false">(DvP!E96-AVERAGEIFS(DvP!$E$2:$E$151,DvP!$B$2:$B$151,C96))/AVERAGEIFS(DvP!$E$2:$E$151,DvP!$B$2:$B$151,C96)</f>
        <v>0.0313208324747579</v>
      </c>
      <c r="G96" s="13" t="n">
        <f aca="false">(DvP!D96-AVERAGEIFS(DvP!$D$2:$D$151,DvP!$B$2:$B$151,C96))/AVERAGEIFS(DvP!$D$2:$D$151,DvP!$B$2:$B$151,C96)</f>
        <v>0.0871420811670676</v>
      </c>
      <c r="H96" s="7" t="n">
        <f aca="false">1+MAX(-Parametros!$B$5,MIN(Parametros!$B$5,D96*Parametros!$B$2*E96))</f>
        <v>1.05535763570889</v>
      </c>
      <c r="I96" s="7" t="n">
        <f aca="false">1+MAX(-Parametros!$B$5,MIN(Parametros!$B$5,D96*Parametros!$B$3*F96))</f>
        <v>1.011782897177</v>
      </c>
      <c r="J96" s="7" t="n">
        <f aca="false">1+MAX(-Parametros!$B$5,MIN(Parametros!$B$5,D96*Parametros!$B$4*G96))</f>
        <v>1.02731904244588</v>
      </c>
    </row>
    <row r="97" customFormat="false" ht="15" hidden="false" customHeight="false" outlineLevel="0" collapsed="false">
      <c r="A97" s="0" t="str">
        <f aca="false">B97&amp;"|"&amp;C97</f>
        <v>Cleveland Cavaliers|PF</v>
      </c>
      <c r="B97" s="0" t="str">
        <f aca="false">DvP!A97</f>
        <v>Cleveland Cavaliers</v>
      </c>
      <c r="C97" s="0" t="str">
        <f aca="false">DvP!B97</f>
        <v>PF</v>
      </c>
      <c r="D97" s="7" t="n">
        <f aca="false">INDEX(Equipos!$C$2:$C$31,MATCH(B97,Equipos!$A$2:$A$31,0))</f>
        <v>0.73</v>
      </c>
      <c r="E97" s="13" t="n">
        <f aca="false">(DvP!C97-AVERAGEIFS(DvP!$C$2:$C$151,DvP!$B$2:$B$151,C97))/AVERAGEIFS(DvP!$C$2:$C$151,DvP!$B$2:$B$151,C97)</f>
        <v>0.0830036011203486</v>
      </c>
      <c r="F97" s="13" t="n">
        <f aca="false">(DvP!E97-AVERAGEIFS(DvP!$E$2:$E$151,DvP!$B$2:$B$151,C97))/AVERAGEIFS(DvP!$E$2:$E$151,DvP!$B$2:$B$151,C97)</f>
        <v>0.0395631568102205</v>
      </c>
      <c r="G97" s="13" t="n">
        <f aca="false">(DvP!D97-AVERAGEIFS(DvP!$D$2:$D$151,DvP!$B$2:$B$151,C97))/AVERAGEIFS(DvP!$D$2:$D$151,DvP!$B$2:$B$151,C97)</f>
        <v>0.163963684333049</v>
      </c>
      <c r="H97" s="7" t="n">
        <f aca="false">1+MAX(-Parametros!$B$5,MIN(Parametros!$B$5,D97*Parametros!$B$2*E97))</f>
        <v>1.0424148401725</v>
      </c>
      <c r="I97" s="7" t="n">
        <f aca="false">1+MAX(-Parametros!$B$5,MIN(Parametros!$B$5,D97*Parametros!$B$3*F97))</f>
        <v>1.01732866268288</v>
      </c>
      <c r="J97" s="7" t="n">
        <f aca="false">1+MAX(-Parametros!$B$5,MIN(Parametros!$B$5,D97*Parametros!$B$4*G97))</f>
        <v>1.05984674478156</v>
      </c>
    </row>
    <row r="98" customFormat="false" ht="15" hidden="false" customHeight="false" outlineLevel="0" collapsed="false">
      <c r="A98" s="0" t="str">
        <f aca="false">B98&amp;"|"&amp;C98</f>
        <v>Dallas Mavericks|PF</v>
      </c>
      <c r="B98" s="0" t="str">
        <f aca="false">DvP!A98</f>
        <v>Dallas Mavericks</v>
      </c>
      <c r="C98" s="0" t="str">
        <f aca="false">DvP!B98</f>
        <v>PF</v>
      </c>
      <c r="D98" s="7" t="n">
        <f aca="false">INDEX(Equipos!$C$2:$C$31,MATCH(B98,Equipos!$A$2:$A$31,0))</f>
        <v>0.726</v>
      </c>
      <c r="E98" s="13" t="n">
        <f aca="false">(DvP!C98-AVERAGEIFS(DvP!$C$2:$C$151,DvP!$B$2:$B$151,C98))/AVERAGEIFS(DvP!$C$2:$C$151,DvP!$B$2:$B$151,C98)</f>
        <v>0.0314320010669987</v>
      </c>
      <c r="F98" s="13" t="n">
        <f aca="false">(DvP!E98-AVERAGEIFS(DvP!$E$2:$E$151,DvP!$B$2:$B$151,C98))/AVERAGEIFS(DvP!$E$2:$E$151,DvP!$B$2:$B$151,C98)</f>
        <v>0.0179270554296313</v>
      </c>
      <c r="G98" s="13" t="n">
        <f aca="false">(DvP!D98-AVERAGEIFS(DvP!$D$2:$D$151,DvP!$B$2:$B$151,C98))/AVERAGEIFS(DvP!$D$2:$D$151,DvP!$B$2:$B$151,C98)</f>
        <v>-0.094436253588888</v>
      </c>
      <c r="H98" s="7" t="n">
        <f aca="false">1+MAX(-Parametros!$B$5,MIN(Parametros!$B$5,D98*Parametros!$B$2*E98))</f>
        <v>1.01597374294225</v>
      </c>
      <c r="I98" s="7" t="n">
        <f aca="false">1+MAX(-Parametros!$B$5,MIN(Parametros!$B$5,D98*Parametros!$B$3*F98))</f>
        <v>1.00780902534515</v>
      </c>
      <c r="J98" s="7" t="n">
        <f aca="false">1+MAX(-Parametros!$B$5,MIN(Parametros!$B$5,D98*Parametros!$B$4*G98))</f>
        <v>0.965719639947234</v>
      </c>
    </row>
    <row r="99" customFormat="false" ht="15" hidden="false" customHeight="false" outlineLevel="0" collapsed="false">
      <c r="A99" s="0" t="str">
        <f aca="false">B99&amp;"|"&amp;C99</f>
        <v>Denver Nuggets|PF</v>
      </c>
      <c r="B99" s="0" t="str">
        <f aca="false">DvP!A99</f>
        <v>Denver Nuggets</v>
      </c>
      <c r="C99" s="0" t="str">
        <f aca="false">DvP!B99</f>
        <v>PF</v>
      </c>
      <c r="D99" s="7" t="n">
        <f aca="false">INDEX(Equipos!$C$2:$C$31,MATCH(B99,Equipos!$A$2:$A$31,0))</f>
        <v>0.806</v>
      </c>
      <c r="E99" s="13" t="n">
        <f aca="false">(DvP!C99-AVERAGEIFS(DvP!$C$2:$C$151,DvP!$B$2:$B$151,C99))/AVERAGEIFS(DvP!$C$2:$C$151,DvP!$B$2:$B$151,C99)</f>
        <v>0.0118703596674522</v>
      </c>
      <c r="F99" s="13" t="n">
        <f aca="false">(DvP!E99-AVERAGEIFS(DvP!$E$2:$E$151,DvP!$B$2:$B$151,C99))/AVERAGEIFS(DvP!$E$2:$E$151,DvP!$B$2:$B$151,C99)</f>
        <v>-0.0263754378734803</v>
      </c>
      <c r="G99" s="13" t="n">
        <f aca="false">(DvP!D99-AVERAGEIFS(DvP!$D$2:$D$151,DvP!$B$2:$B$151,C99))/AVERAGEIFS(DvP!$D$2:$D$151,DvP!$B$2:$B$151,C99)</f>
        <v>0.136028555909056</v>
      </c>
      <c r="H99" s="7" t="n">
        <f aca="false">1+MAX(-Parametros!$B$5,MIN(Parametros!$B$5,D99*Parametros!$B$2*E99))</f>
        <v>1.00669725692438</v>
      </c>
      <c r="I99" s="7" t="n">
        <f aca="false">1+MAX(-Parametros!$B$5,MIN(Parametros!$B$5,D99*Parametros!$B$3*F99))</f>
        <v>0.987244838244385</v>
      </c>
      <c r="J99" s="7" t="n">
        <f aca="false">1+MAX(-Parametros!$B$5,MIN(Parametros!$B$5,D99*Parametros!$B$4*G99))</f>
        <v>1.05481950803135</v>
      </c>
    </row>
    <row r="100" customFormat="false" ht="15" hidden="false" customHeight="false" outlineLevel="0" collapsed="false">
      <c r="A100" s="0" t="str">
        <f aca="false">B100&amp;"|"&amp;C100</f>
        <v>Detroit Pistons|PF</v>
      </c>
      <c r="B100" s="0" t="str">
        <f aca="false">DvP!A100</f>
        <v>Detroit Pistons</v>
      </c>
      <c r="C100" s="0" t="str">
        <f aca="false">DvP!B100</f>
        <v>PF</v>
      </c>
      <c r="D100" s="7" t="n">
        <f aca="false">INDEX(Equipos!$C$2:$C$31,MATCH(B100,Equipos!$A$2:$A$31,0))</f>
        <v>0.704</v>
      </c>
      <c r="E100" s="13" t="n">
        <f aca="false">(DvP!C100-AVERAGEIFS(DvP!$C$2:$C$151,DvP!$B$2:$B$151,C100))/AVERAGEIFS(DvP!$C$2:$C$151,DvP!$B$2:$B$151,C100)</f>
        <v>-0.0205841817454318</v>
      </c>
      <c r="F100" s="13" t="n">
        <f aca="false">(DvP!E100-AVERAGEIFS(DvP!$E$2:$E$151,DvP!$B$2:$B$151,C100))/AVERAGEIFS(DvP!$E$2:$E$151,DvP!$B$2:$B$151,C100)</f>
        <v>-0.00989078920255513</v>
      </c>
      <c r="G100" s="13" t="n">
        <f aca="false">(DvP!D100-AVERAGEIFS(DvP!$D$2:$D$151,DvP!$B$2:$B$151,C100))/AVERAGEIFS(DvP!$D$2:$D$151,DvP!$B$2:$B$151,C100)</f>
        <v>0.0289438969504152</v>
      </c>
      <c r="H100" s="7" t="n">
        <f aca="false">1+MAX(-Parametros!$B$5,MIN(Parametros!$B$5,D100*Parametros!$B$2*E100))</f>
        <v>0.989856115235851</v>
      </c>
      <c r="I100" s="7" t="n">
        <f aca="false">1+MAX(-Parametros!$B$5,MIN(Parametros!$B$5,D100*Parametros!$B$3*F100))</f>
        <v>0.995822130640841</v>
      </c>
      <c r="J100" s="7" t="n">
        <f aca="false">1+MAX(-Parametros!$B$5,MIN(Parametros!$B$5,D100*Parametros!$B$4*G100))</f>
        <v>1.01018825172655</v>
      </c>
    </row>
    <row r="101" customFormat="false" ht="15" hidden="false" customHeight="false" outlineLevel="0" collapsed="false">
      <c r="A101" s="0" t="str">
        <f aca="false">B101&amp;"|"&amp;C101</f>
        <v>Golden State Warriors|PF</v>
      </c>
      <c r="B101" s="0" t="str">
        <f aca="false">DvP!A101</f>
        <v>Golden State Warriors</v>
      </c>
      <c r="C101" s="0" t="str">
        <f aca="false">DvP!B101</f>
        <v>PF</v>
      </c>
      <c r="D101" s="7" t="n">
        <f aca="false">INDEX(Equipos!$C$2:$C$31,MATCH(B101,Equipos!$A$2:$A$31,0))</f>
        <v>0.893</v>
      </c>
      <c r="E101" s="13" t="n">
        <f aca="false">(DvP!C101-AVERAGEIFS(DvP!$C$2:$C$151,DvP!$B$2:$B$151,C101))/AVERAGEIFS(DvP!$C$2:$C$151,DvP!$B$2:$B$151,C101)</f>
        <v>-0.0365891610723335</v>
      </c>
      <c r="F101" s="13" t="n">
        <f aca="false">(DvP!E101-AVERAGEIFS(DvP!$E$2:$E$151,DvP!$B$2:$B$151,C101))/AVERAGEIFS(DvP!$E$2:$E$151,DvP!$B$2:$B$151,C101)</f>
        <v>0.0416237378940861</v>
      </c>
      <c r="G101" s="13" t="n">
        <f aca="false">(DvP!D101-AVERAGEIFS(DvP!$D$2:$D$151,DvP!$B$2:$B$151,C101))/AVERAGEIFS(DvP!$D$2:$D$151,DvP!$B$2:$B$151,C101)</f>
        <v>-0.00830294094824243</v>
      </c>
      <c r="H101" s="7" t="n">
        <f aca="false">1+MAX(-Parametros!$B$5,MIN(Parametros!$B$5,D101*Parametros!$B$2*E101))</f>
        <v>0.977128115413684</v>
      </c>
      <c r="I101" s="7" t="n">
        <f aca="false">1+MAX(-Parametros!$B$5,MIN(Parametros!$B$5,D101*Parametros!$B$3*F101))</f>
        <v>1.02230199876365</v>
      </c>
      <c r="J101" s="7" t="n">
        <f aca="false">1+MAX(-Parametros!$B$5,MIN(Parametros!$B$5,D101*Parametros!$B$4*G101))</f>
        <v>0.99629273686661</v>
      </c>
    </row>
    <row r="102" customFormat="false" ht="15" hidden="false" customHeight="false" outlineLevel="0" collapsed="false">
      <c r="A102" s="0" t="str">
        <f aca="false">B102&amp;"|"&amp;C102</f>
        <v>Houston Rockets|PF</v>
      </c>
      <c r="B102" s="0" t="str">
        <f aca="false">DvP!A102</f>
        <v>Houston Rockets</v>
      </c>
      <c r="C102" s="0" t="str">
        <f aca="false">DvP!B102</f>
        <v>PF</v>
      </c>
      <c r="D102" s="7" t="n">
        <f aca="false">INDEX(Equipos!$C$2:$C$31,MATCH(B102,Equipos!$A$2:$A$31,0))</f>
        <v>0.861</v>
      </c>
      <c r="E102" s="13" t="n">
        <f aca="false">(DvP!C102-AVERAGEIFS(DvP!$C$2:$C$151,DvP!$B$2:$B$151,C102))/AVERAGEIFS(DvP!$C$2:$C$151,DvP!$B$2:$B$151,C102)</f>
        <v>-0.0872715956075222</v>
      </c>
      <c r="F102" s="13" t="n">
        <f aca="false">(DvP!E102-AVERAGEIFS(DvP!$E$2:$E$151,DvP!$B$2:$B$151,C102))/AVERAGEIFS(DvP!$E$2:$E$151,DvP!$B$2:$B$151,C102)</f>
        <v>-0.169585823202143</v>
      </c>
      <c r="G102" s="13" t="n">
        <f aca="false">(DvP!D102-AVERAGEIFS(DvP!$D$2:$D$151,DvP!$B$2:$B$151,C102))/AVERAGEIFS(DvP!$D$2:$D$151,DvP!$B$2:$B$151,C102)</f>
        <v>-0.203848839916195</v>
      </c>
      <c r="H102" s="7" t="n">
        <f aca="false">1+MAX(-Parametros!$B$5,MIN(Parametros!$B$5,D102*Parametros!$B$2*E102))</f>
        <v>0.947401409327346</v>
      </c>
      <c r="I102" s="7" t="n">
        <f aca="false">1+MAX(-Parametros!$B$5,MIN(Parametros!$B$5,D102*Parametros!$B$3*F102))</f>
        <v>0.912391963733773</v>
      </c>
      <c r="J102" s="7" t="n">
        <f aca="false">1+MAX(-Parametros!$B$5,MIN(Parametros!$B$5,D102*Parametros!$B$4*G102))</f>
        <v>0.912243074416078</v>
      </c>
    </row>
    <row r="103" customFormat="false" ht="15" hidden="false" customHeight="false" outlineLevel="0" collapsed="false">
      <c r="A103" s="0" t="str">
        <f aca="false">B103&amp;"|"&amp;C103</f>
        <v>Indiana Pacers|PF</v>
      </c>
      <c r="B103" s="0" t="str">
        <f aca="false">DvP!A103</f>
        <v>Indiana Pacers</v>
      </c>
      <c r="C103" s="0" t="str">
        <f aca="false">DvP!B103</f>
        <v>PF</v>
      </c>
      <c r="D103" s="7" t="n">
        <f aca="false">INDEX(Equipos!$C$2:$C$31,MATCH(B103,Equipos!$A$2:$A$31,0))</f>
        <v>0.819</v>
      </c>
      <c r="E103" s="13" t="n">
        <f aca="false">(DvP!C103-AVERAGEIFS(DvP!$C$2:$C$151,DvP!$B$2:$B$151,C103))/AVERAGEIFS(DvP!$C$2:$C$151,DvP!$B$2:$B$151,C103)</f>
        <v>0.0865602631929935</v>
      </c>
      <c r="F103" s="13" t="n">
        <f aca="false">(DvP!E103-AVERAGEIFS(DvP!$E$2:$E$151,DvP!$B$2:$B$151,C103))/AVERAGEIFS(DvP!$E$2:$E$151,DvP!$B$2:$B$151,C103)</f>
        <v>0.104471460951989</v>
      </c>
      <c r="G103" s="13" t="n">
        <f aca="false">(DvP!D103-AVERAGEIFS(DvP!$D$2:$D$151,DvP!$B$2:$B$151,C103))/AVERAGEIFS(DvP!$D$2:$D$151,DvP!$B$2:$B$151,C103)</f>
        <v>-0.0385659967409017</v>
      </c>
      <c r="H103" s="7" t="n">
        <f aca="false">1+MAX(-Parametros!$B$5,MIN(Parametros!$B$5,D103*Parametros!$B$2*E103))</f>
        <v>1.04962499888854</v>
      </c>
      <c r="I103" s="7" t="n">
        <f aca="false">1+MAX(-Parametros!$B$5,MIN(Parametros!$B$5,D103*Parametros!$B$3*F103))</f>
        <v>1.05133727591181</v>
      </c>
      <c r="J103" s="7" t="n">
        <f aca="false">1+MAX(-Parametros!$B$5,MIN(Parametros!$B$5,D103*Parametros!$B$4*G103))</f>
        <v>0.984207224334601</v>
      </c>
    </row>
    <row r="104" customFormat="false" ht="15" hidden="false" customHeight="false" outlineLevel="0" collapsed="false">
      <c r="A104" s="0" t="str">
        <f aca="false">B104&amp;"|"&amp;C104</f>
        <v>Los Angeles Clippers|PF</v>
      </c>
      <c r="B104" s="0" t="str">
        <f aca="false">DvP!A104</f>
        <v>Los Angeles Clippers</v>
      </c>
      <c r="C104" s="0" t="str">
        <f aca="false">DvP!B104</f>
        <v>PF</v>
      </c>
      <c r="D104" s="7" t="n">
        <f aca="false">INDEX(Equipos!$C$2:$C$31,MATCH(B104,Equipos!$A$2:$A$31,0))</f>
        <v>0.63</v>
      </c>
      <c r="E104" s="13" t="n">
        <f aca="false">(DvP!C104-AVERAGEIFS(DvP!$C$2:$C$151,DvP!$B$2:$B$151,C104))/AVERAGEIFS(DvP!$C$2:$C$151,DvP!$B$2:$B$151,C104)</f>
        <v>-0.0943849197528119</v>
      </c>
      <c r="F104" s="13" t="n">
        <f aca="false">(DvP!E104-AVERAGEIFS(DvP!$E$2:$E$151,DvP!$B$2:$B$151,C104))/AVERAGEIFS(DvP!$E$2:$E$151,DvP!$B$2:$B$151,C104)</f>
        <v>-0.0644961879249948</v>
      </c>
      <c r="G104" s="13" t="n">
        <f aca="false">(DvP!D104-AVERAGEIFS(DvP!$D$2:$D$151,DvP!$B$2:$B$151,C104))/AVERAGEIFS(DvP!$D$2:$D$151,DvP!$B$2:$B$151,C104)</f>
        <v>-0.0222705051602389</v>
      </c>
      <c r="H104" s="7" t="n">
        <f aca="false">1+MAX(-Parametros!$B$5,MIN(Parametros!$B$5,D104*Parametros!$B$2*E104))</f>
        <v>0.95837625038901</v>
      </c>
      <c r="I104" s="7" t="n">
        <f aca="false">1+MAX(-Parametros!$B$5,MIN(Parametros!$B$5,D104*Parametros!$B$3*F104))</f>
        <v>0.975620440964352</v>
      </c>
      <c r="J104" s="7" t="n">
        <f aca="false">1+MAX(-Parametros!$B$5,MIN(Parametros!$B$5,D104*Parametros!$B$4*G104))</f>
        <v>0.992984790874525</v>
      </c>
    </row>
    <row r="105" customFormat="false" ht="15" hidden="false" customHeight="false" outlineLevel="0" collapsed="false">
      <c r="A105" s="0" t="str">
        <f aca="false">B105&amp;"|"&amp;C105</f>
        <v>Los Angeles Lakers|PF</v>
      </c>
      <c r="B105" s="0" t="str">
        <f aca="false">DvP!A105</f>
        <v>Los Angeles Lakers</v>
      </c>
      <c r="C105" s="0" t="str">
        <f aca="false">DvP!B105</f>
        <v>PF</v>
      </c>
      <c r="D105" s="7" t="n">
        <f aca="false">INDEX(Equipos!$C$2:$C$31,MATCH(B105,Equipos!$A$2:$A$31,0))</f>
        <v>0.453</v>
      </c>
      <c r="E105" s="13" t="n">
        <f aca="false">(DvP!C105-AVERAGEIFS(DvP!$C$2:$C$151,DvP!$B$2:$B$151,C105))/AVERAGEIFS(DvP!$C$2:$C$151,DvP!$B$2:$B$151,C105)</f>
        <v>-0.0103587782865779</v>
      </c>
      <c r="F105" s="13" t="n">
        <f aca="false">(DvP!E105-AVERAGEIFS(DvP!$E$2:$E$151,DvP!$B$2:$B$151,C105))/AVERAGEIFS(DvP!$E$2:$E$151,DvP!$B$2:$B$151,C105)</f>
        <v>-0.0274057284154132</v>
      </c>
      <c r="G105" s="13" t="n">
        <f aca="false">(DvP!D105-AVERAGEIFS(DvP!$D$2:$D$151,DvP!$B$2:$B$151,C105))/AVERAGEIFS(DvP!$D$2:$D$151,DvP!$B$2:$B$151,C105)</f>
        <v>-0.115387599906883</v>
      </c>
      <c r="H105" s="7" t="n">
        <f aca="false">1+MAX(-Parametros!$B$5,MIN(Parametros!$B$5,D105*Parametros!$B$2*E105))</f>
        <v>0.996715231405326</v>
      </c>
      <c r="I105" s="7" t="n">
        <f aca="false">1+MAX(-Parametros!$B$5,MIN(Parametros!$B$5,D105*Parametros!$B$3*F105))</f>
        <v>0.992551123016691</v>
      </c>
      <c r="J105" s="7" t="n">
        <f aca="false">1+MAX(-Parametros!$B$5,MIN(Parametros!$B$5,D105*Parametros!$B$4*G105))</f>
        <v>0.973864708621091</v>
      </c>
    </row>
    <row r="106" customFormat="false" ht="15" hidden="false" customHeight="false" outlineLevel="0" collapsed="false">
      <c r="A106" s="0" t="str">
        <f aca="false">B106&amp;"|"&amp;C106</f>
        <v>Memphis Grizzlies|PF</v>
      </c>
      <c r="B106" s="0" t="str">
        <f aca="false">DvP!A106</f>
        <v>Memphis Grizzlies</v>
      </c>
      <c r="C106" s="0" t="str">
        <f aca="false">DvP!B106</f>
        <v>PF</v>
      </c>
      <c r="D106" s="7" t="n">
        <f aca="false">INDEX(Equipos!$C$2:$C$31,MATCH(B106,Equipos!$A$2:$A$31,0))</f>
        <v>0.738</v>
      </c>
      <c r="E106" s="13" t="n">
        <f aca="false">(DvP!C106-AVERAGEIFS(DvP!$C$2:$C$151,DvP!$B$2:$B$151,C106))/AVERAGEIFS(DvP!$C$2:$C$151,DvP!$B$2:$B$151,C106)</f>
        <v>0.0443249010803361</v>
      </c>
      <c r="F106" s="13" t="n">
        <f aca="false">(DvP!E106-AVERAGEIFS(DvP!$E$2:$E$151,DvP!$B$2:$B$151,C106))/AVERAGEIFS(DvP!$E$2:$E$151,DvP!$B$2:$B$151,C106)</f>
        <v>0.0220482175973625</v>
      </c>
      <c r="G106" s="13" t="n">
        <f aca="false">(DvP!D106-AVERAGEIFS(DvP!$D$2:$D$151,DvP!$B$2:$B$151,C106))/AVERAGEIFS(DvP!$D$2:$D$151,DvP!$B$2:$B$151,C106)</f>
        <v>0.00566462326375427</v>
      </c>
      <c r="H106" s="7" t="n">
        <f aca="false">1+MAX(-Parametros!$B$5,MIN(Parametros!$B$5,D106*Parametros!$B$2*E106))</f>
        <v>1.0228982438981</v>
      </c>
      <c r="I106" s="7" t="n">
        <f aca="false">1+MAX(-Parametros!$B$5,MIN(Parametros!$B$5,D106*Parametros!$B$3*F106))</f>
        <v>1.00976295075211</v>
      </c>
      <c r="J106" s="7" t="n">
        <f aca="false">1+MAX(-Parametros!$B$5,MIN(Parametros!$B$5,D106*Parametros!$B$4*G106))</f>
        <v>1.00209024598433</v>
      </c>
    </row>
    <row r="107" customFormat="false" ht="15" hidden="false" customHeight="false" outlineLevel="0" collapsed="false">
      <c r="A107" s="0" t="str">
        <f aca="false">B107&amp;"|"&amp;C107</f>
        <v>Miami Heat|PF</v>
      </c>
      <c r="B107" s="0" t="str">
        <f aca="false">DvP!A107</f>
        <v>Miami Heat</v>
      </c>
      <c r="C107" s="0" t="str">
        <f aca="false">DvP!B107</f>
        <v>PF</v>
      </c>
      <c r="D107" s="7" t="n">
        <f aca="false">INDEX(Equipos!$C$2:$C$31,MATCH(B107,Equipos!$A$2:$A$31,0))</f>
        <v>0.579</v>
      </c>
      <c r="E107" s="13" t="n">
        <f aca="false">(DvP!C107-AVERAGEIFS(DvP!$C$2:$C$151,DvP!$B$2:$B$151,C107))/AVERAGEIFS(DvP!$C$2:$C$151,DvP!$B$2:$B$151,C107)</f>
        <v>0.0563286355755125</v>
      </c>
      <c r="F107" s="13" t="n">
        <f aca="false">(DvP!E107-AVERAGEIFS(DvP!$E$2:$E$151,DvP!$B$2:$B$151,C107))/AVERAGEIFS(DvP!$E$2:$E$151,DvP!$B$2:$B$151,C107)</f>
        <v>0.0879868122810634</v>
      </c>
      <c r="G107" s="13" t="n">
        <f aca="false">(DvP!D107-AVERAGEIFS(DvP!$D$2:$D$151,DvP!$B$2:$B$151,C107))/AVERAGEIFS(DvP!$D$2:$D$151,DvP!$B$2:$B$151,C107)</f>
        <v>0.0429114611624119</v>
      </c>
      <c r="H107" s="7" t="n">
        <f aca="false">1+MAX(-Parametros!$B$5,MIN(Parametros!$B$5,D107*Parametros!$B$2*E107))</f>
        <v>1.02282999599876</v>
      </c>
      <c r="I107" s="7" t="n">
        <f aca="false">1+MAX(-Parametros!$B$5,MIN(Parametros!$B$5,D107*Parametros!$B$3*F107))</f>
        <v>1.03056661858644</v>
      </c>
      <c r="J107" s="7" t="n">
        <f aca="false">1+MAX(-Parametros!$B$5,MIN(Parametros!$B$5,D107*Parametros!$B$4*G107))</f>
        <v>1.01242286800652</v>
      </c>
    </row>
    <row r="108" customFormat="false" ht="15" hidden="false" customHeight="false" outlineLevel="0" collapsed="false">
      <c r="A108" s="0" t="str">
        <f aca="false">B108&amp;"|"&amp;C108</f>
        <v>Milwaukee Bucks|PF</v>
      </c>
      <c r="B108" s="0" t="str">
        <f aca="false">DvP!A108</f>
        <v>Milwaukee Bucks</v>
      </c>
      <c r="C108" s="0" t="str">
        <f aca="false">DvP!B108</f>
        <v>PF</v>
      </c>
      <c r="D108" s="7" t="n">
        <f aca="false">INDEX(Equipos!$C$2:$C$31,MATCH(B108,Equipos!$A$2:$A$31,0))</f>
        <v>0.733</v>
      </c>
      <c r="E108" s="13" t="n">
        <f aca="false">(DvP!C108-AVERAGEIFS(DvP!$C$2:$C$151,DvP!$B$2:$B$151,C108))/AVERAGEIFS(DvP!$C$2:$C$151,DvP!$B$2:$B$151,C108)</f>
        <v>0.00786911483572681</v>
      </c>
      <c r="F108" s="13" t="n">
        <f aca="false">(DvP!E108-AVERAGEIFS(DvP!$E$2:$E$151,DvP!$B$2:$B$151,C108))/AVERAGEIFS(DvP!$E$2:$E$151,DvP!$B$2:$B$151,C108)</f>
        <v>0.00968473109416868</v>
      </c>
      <c r="G108" s="13" t="n">
        <f aca="false">(DvP!D108-AVERAGEIFS(DvP!$D$2:$D$151,DvP!$B$2:$B$151,C108))/AVERAGEIFS(DvP!$D$2:$D$151,DvP!$B$2:$B$151,C108)</f>
        <v>0.161635756964383</v>
      </c>
      <c r="H108" s="7" t="n">
        <f aca="false">1+MAX(-Parametros!$B$5,MIN(Parametros!$B$5,D108*Parametros!$B$2*E108))</f>
        <v>1.00403764282221</v>
      </c>
      <c r="I108" s="7" t="n">
        <f aca="false">1+MAX(-Parametros!$B$5,MIN(Parametros!$B$5,D108*Parametros!$B$3*F108))</f>
        <v>1.00425934473522</v>
      </c>
      <c r="J108" s="7" t="n">
        <f aca="false">1+MAX(-Parametros!$B$5,MIN(Parametros!$B$5,D108*Parametros!$B$4*G108))</f>
        <v>1.05923950492745</v>
      </c>
    </row>
    <row r="109" customFormat="false" ht="15" hidden="false" customHeight="false" outlineLevel="0" collapsed="false">
      <c r="A109" s="0" t="str">
        <f aca="false">B109&amp;"|"&amp;C109</f>
        <v>Minnesota Timberwolves|PF</v>
      </c>
      <c r="B109" s="0" t="str">
        <f aca="false">DvP!A109</f>
        <v>Minnesota Timberwolves</v>
      </c>
      <c r="C109" s="0" t="str">
        <f aca="false">DvP!B109</f>
        <v>PF</v>
      </c>
      <c r="D109" s="7" t="n">
        <f aca="false">INDEX(Equipos!$C$2:$C$31,MATCH(B109,Equipos!$A$2:$A$31,0))</f>
        <v>0.671</v>
      </c>
      <c r="E109" s="13" t="n">
        <f aca="false">(DvP!C109-AVERAGEIFS(DvP!$C$2:$C$151,DvP!$B$2:$B$151,C109))/AVERAGEIFS(DvP!$C$2:$C$151,DvP!$B$2:$B$151,C109)</f>
        <v>-0.0681545369670563</v>
      </c>
      <c r="F109" s="13" t="n">
        <f aca="false">(DvP!E109-AVERAGEIFS(DvP!$E$2:$E$151,DvP!$B$2:$B$151,C109))/AVERAGEIFS(DvP!$E$2:$E$151,DvP!$B$2:$B$151,C109)</f>
        <v>-0.0119513702864207</v>
      </c>
      <c r="G109" s="13" t="n">
        <f aca="false">(DvP!D109-AVERAGEIFS(DvP!$D$2:$D$151,DvP!$B$2:$B$151,C109))/AVERAGEIFS(DvP!$D$2:$D$151,DvP!$B$2:$B$151,C109)</f>
        <v>-0.213160549390859</v>
      </c>
      <c r="H109" s="7" t="n">
        <f aca="false">1+MAX(-Parametros!$B$5,MIN(Parametros!$B$5,D109*Parametros!$B$2*E109))</f>
        <v>0.967987813986574</v>
      </c>
      <c r="I109" s="7" t="n">
        <f aca="false">1+MAX(-Parametros!$B$5,MIN(Parametros!$B$5,D109*Parametros!$B$3*F109))</f>
        <v>0.995188378322687</v>
      </c>
      <c r="J109" s="7" t="n">
        <f aca="false">1+MAX(-Parametros!$B$5,MIN(Parametros!$B$5,D109*Parametros!$B$4*G109))</f>
        <v>0.928484635679367</v>
      </c>
    </row>
    <row r="110" customFormat="false" ht="15" hidden="false" customHeight="false" outlineLevel="0" collapsed="false">
      <c r="A110" s="0" t="str">
        <f aca="false">B110&amp;"|"&amp;C110</f>
        <v>New Orleans Pelicans|PF</v>
      </c>
      <c r="B110" s="0" t="str">
        <f aca="false">DvP!A110</f>
        <v>New Orleans Pelicans</v>
      </c>
      <c r="C110" s="0" t="str">
        <f aca="false">DvP!B110</f>
        <v>PF</v>
      </c>
      <c r="D110" s="7" t="n">
        <f aca="false">INDEX(Equipos!$C$2:$C$31,MATCH(B110,Equipos!$A$2:$A$31,0))</f>
        <v>0.859</v>
      </c>
      <c r="E110" s="13" t="n">
        <f aca="false">(DvP!C110-AVERAGEIFS(DvP!$C$2:$C$151,DvP!$B$2:$B$151,C110))/AVERAGEIFS(DvP!$C$2:$C$151,DvP!$B$2:$B$151,C110)</f>
        <v>-0.0325879162406081</v>
      </c>
      <c r="F110" s="13" t="n">
        <f aca="false">(DvP!E110-AVERAGEIFS(DvP!$E$2:$E$151,DvP!$B$2:$B$151,C110))/AVERAGEIFS(DvP!$E$2:$E$151,DvP!$B$2:$B$151,C110)</f>
        <v>0.0220482175973625</v>
      </c>
      <c r="G110" s="13" t="n">
        <f aca="false">(DvP!D110-AVERAGEIFS(DvP!$D$2:$D$151,DvP!$B$2:$B$151,C110))/AVERAGEIFS(DvP!$D$2:$D$151,DvP!$B$2:$B$151,C110)</f>
        <v>0.0824862264297355</v>
      </c>
      <c r="H110" s="7" t="n">
        <f aca="false">1+MAX(-Parametros!$B$5,MIN(Parametros!$B$5,D110*Parametros!$B$2*E110))</f>
        <v>0.980404885964522</v>
      </c>
      <c r="I110" s="7" t="n">
        <f aca="false">1+MAX(-Parametros!$B$5,MIN(Parametros!$B$5,D110*Parametros!$B$3*F110))</f>
        <v>1.01136365134968</v>
      </c>
      <c r="J110" s="7" t="n">
        <f aca="false">1+MAX(-Parametros!$B$5,MIN(Parametros!$B$5,D110*Parametros!$B$4*G110))</f>
        <v>1.03542783425157</v>
      </c>
    </row>
    <row r="111" customFormat="false" ht="15" hidden="false" customHeight="false" outlineLevel="0" collapsed="false">
      <c r="A111" s="0" t="str">
        <f aca="false">B111&amp;"|"&amp;C111</f>
        <v>New York Knicks|PF</v>
      </c>
      <c r="B111" s="0" t="str">
        <f aca="false">DvP!A111</f>
        <v>New York Knicks</v>
      </c>
      <c r="C111" s="0" t="str">
        <f aca="false">DvP!B111</f>
        <v>PF</v>
      </c>
      <c r="D111" s="7" t="n">
        <f aca="false">INDEX(Equipos!$C$2:$C$31,MATCH(B111,Equipos!$A$2:$A$31,0))</f>
        <v>0.93</v>
      </c>
      <c r="E111" s="13" t="n">
        <f aca="false">(DvP!C111-AVERAGEIFS(DvP!$C$2:$C$151,DvP!$B$2:$B$151,C111))/AVERAGEIFS(DvP!$C$2:$C$151,DvP!$B$2:$B$151,C111)</f>
        <v>-0.0654870404125728</v>
      </c>
      <c r="F111" s="13" t="n">
        <f aca="false">(DvP!E111-AVERAGEIFS(DvP!$E$2:$E$151,DvP!$B$2:$B$151,C111))/AVERAGEIFS(DvP!$E$2:$E$151,DvP!$B$2:$B$151,C111)</f>
        <v>-0.124253039357099</v>
      </c>
      <c r="G111" s="13" t="n">
        <f aca="false">(DvP!D111-AVERAGEIFS(DvP!$D$2:$D$151,DvP!$B$2:$B$151,C111))/AVERAGEIFS(DvP!$D$2:$D$151,DvP!$B$2:$B$151,C111)</f>
        <v>-0.0432218514782338</v>
      </c>
      <c r="H111" s="7" t="n">
        <f aca="false">1+MAX(-Parametros!$B$5,MIN(Parametros!$B$5,D111*Parametros!$B$2*E111))</f>
        <v>0.957367936691415</v>
      </c>
      <c r="I111" s="7" t="n">
        <f aca="false">1+MAX(-Parametros!$B$5,MIN(Parametros!$B$5,D111*Parametros!$B$3*F111))</f>
        <v>0.930666804038739</v>
      </c>
      <c r="J111" s="7" t="n">
        <f aca="false">1+MAX(-Parametros!$B$5,MIN(Parametros!$B$5,D111*Parametros!$B$4*G111))</f>
        <v>0.979901839062621</v>
      </c>
    </row>
    <row r="112" customFormat="false" ht="15" hidden="false" customHeight="false" outlineLevel="0" collapsed="false">
      <c r="A112" s="0" t="str">
        <f aca="false">B112&amp;"|"&amp;C112</f>
        <v>Oklahoma City Thunder|PF</v>
      </c>
      <c r="B112" s="0" t="str">
        <f aca="false">DvP!A112</f>
        <v>Oklahoma City Thunder</v>
      </c>
      <c r="C112" s="0" t="str">
        <f aca="false">DvP!B112</f>
        <v>PF</v>
      </c>
      <c r="D112" s="7" t="n">
        <f aca="false">INDEX(Equipos!$C$2:$C$31,MATCH(B112,Equipos!$A$2:$A$31,0))</f>
        <v>0.873</v>
      </c>
      <c r="E112" s="13" t="n">
        <f aca="false">(DvP!C112-AVERAGEIFS(DvP!$C$2:$C$151,DvP!$B$2:$B$151,C112))/AVERAGEIFS(DvP!$C$2:$C$151,DvP!$B$2:$B$151,C112)</f>
        <v>-0.0365891610723335</v>
      </c>
      <c r="F112" s="13" t="n">
        <f aca="false">(DvP!E112-AVERAGEIFS(DvP!$E$2:$E$151,DvP!$B$2:$B$151,C112))/AVERAGEIFS(DvP!$E$2:$E$151,DvP!$B$2:$B$151,C112)</f>
        <v>-0.00473933649289093</v>
      </c>
      <c r="G112" s="13" t="n">
        <f aca="false">(DvP!D112-AVERAGEIFS(DvP!$D$2:$D$151,DvP!$B$2:$B$151,C112))/AVERAGEIFS(DvP!$D$2:$D$151,DvP!$B$2:$B$151,C112)</f>
        <v>-0.0408939241095677</v>
      </c>
      <c r="H112" s="7" t="n">
        <f aca="false">1+MAX(-Parametros!$B$5,MIN(Parametros!$B$5,D112*Parametros!$B$2*E112))</f>
        <v>0.977640363668697</v>
      </c>
      <c r="I112" s="7" t="n">
        <f aca="false">1+MAX(-Parametros!$B$5,MIN(Parametros!$B$5,D112*Parametros!$B$3*F112))</f>
        <v>0.997517535545024</v>
      </c>
      <c r="J112" s="7" t="n">
        <f aca="false">1+MAX(-Parametros!$B$5,MIN(Parametros!$B$5,D112*Parametros!$B$4*G112))</f>
        <v>0.982149802126174</v>
      </c>
    </row>
    <row r="113" customFormat="false" ht="15" hidden="false" customHeight="false" outlineLevel="0" collapsed="false">
      <c r="A113" s="0" t="str">
        <f aca="false">B113&amp;"|"&amp;C113</f>
        <v>Orlando Magic|PF</v>
      </c>
      <c r="B113" s="0" t="str">
        <f aca="false">DvP!A113</f>
        <v>Orlando Magic</v>
      </c>
      <c r="C113" s="0" t="str">
        <f aca="false">DvP!B113</f>
        <v>PF</v>
      </c>
      <c r="D113" s="7" t="n">
        <f aca="false">INDEX(Equipos!$C$2:$C$31,MATCH(B113,Equipos!$A$2:$A$31,0))</f>
        <v>0.915</v>
      </c>
      <c r="E113" s="13" t="n">
        <f aca="false">(DvP!C113-AVERAGEIFS(DvP!$C$2:$C$151,DvP!$B$2:$B$151,C113))/AVERAGEIFS(DvP!$C$2:$C$151,DvP!$B$2:$B$151,C113)</f>
        <v>-0.0561508024718801</v>
      </c>
      <c r="F113" s="13" t="n">
        <f aca="false">(DvP!E113-AVERAGEIFS(DvP!$E$2:$E$151,DvP!$B$2:$B$151,C113))/AVERAGEIFS(DvP!$E$2:$E$151,DvP!$B$2:$B$151,C113)</f>
        <v>0.0179270554296313</v>
      </c>
      <c r="G113" s="13" t="n">
        <f aca="false">(DvP!D113-AVERAGEIFS(DvP!$D$2:$D$151,DvP!$B$2:$B$151,C113))/AVERAGEIFS(DvP!$D$2:$D$151,DvP!$B$2:$B$151,C113)</f>
        <v>-0.227128113602856</v>
      </c>
      <c r="H113" s="7" t="n">
        <f aca="false">1+MAX(-Parametros!$B$5,MIN(Parametros!$B$5,D113*Parametros!$B$2*E113))</f>
        <v>0.964035411016761</v>
      </c>
      <c r="I113" s="7" t="n">
        <f aca="false">1+MAX(-Parametros!$B$5,MIN(Parametros!$B$5,D113*Parametros!$B$3*F113))</f>
        <v>1.00984195343087</v>
      </c>
      <c r="J113" s="7" t="n">
        <f aca="false">1+MAX(-Parametros!$B$5,MIN(Parametros!$B$5,D113*Parametros!$B$4*G113))</f>
        <v>0.896088888026694</v>
      </c>
    </row>
    <row r="114" customFormat="false" ht="15" hidden="false" customHeight="false" outlineLevel="0" collapsed="false">
      <c r="A114" s="0" t="str">
        <f aca="false">B114&amp;"|"&amp;C114</f>
        <v>Philadelphia 76ers|PF</v>
      </c>
      <c r="B114" s="0" t="str">
        <f aca="false">DvP!A114</f>
        <v>Philadelphia 76ers</v>
      </c>
      <c r="C114" s="0" t="str">
        <f aca="false">DvP!B114</f>
        <v>PF</v>
      </c>
      <c r="D114" s="7" t="n">
        <f aca="false">INDEX(Equipos!$C$2:$C$31,MATCH(B114,Equipos!$A$2:$A$31,0))</f>
        <v>0.583</v>
      </c>
      <c r="E114" s="13" t="n">
        <f aca="false">(DvP!C114-AVERAGEIFS(DvP!$C$2:$C$151,DvP!$B$2:$B$151,C114))/AVERAGEIFS(DvP!$C$2:$C$151,DvP!$B$2:$B$151,C114)</f>
        <v>-0.021473347263593</v>
      </c>
      <c r="F114" s="13" t="n">
        <f aca="false">(DvP!E114-AVERAGEIFS(DvP!$E$2:$E$151,DvP!$B$2:$B$151,C114))/AVERAGEIFS(DvP!$E$2:$E$151,DvP!$B$2:$B$151,C114)</f>
        <v>0.0879868122810634</v>
      </c>
      <c r="G114" s="13" t="n">
        <f aca="false">(DvP!D114-AVERAGEIFS(DvP!$D$2:$D$151,DvP!$B$2:$B$151,C114))/AVERAGEIFS(DvP!$D$2:$D$151,DvP!$B$2:$B$151,C114)</f>
        <v>0.00566462326375427</v>
      </c>
      <c r="H114" s="7" t="n">
        <f aca="false">1+MAX(-Parametros!$B$5,MIN(Parametros!$B$5,D114*Parametros!$B$2*E114))</f>
        <v>0.991236726981728</v>
      </c>
      <c r="I114" s="7" t="n">
        <f aca="false">1+MAX(-Parametros!$B$5,MIN(Parametros!$B$5,D114*Parametros!$B$3*F114))</f>
        <v>1.03077778693592</v>
      </c>
      <c r="J114" s="7" t="n">
        <f aca="false">1+MAX(-Parametros!$B$5,MIN(Parametros!$B$5,D114*Parametros!$B$4*G114))</f>
        <v>1.00165123768138</v>
      </c>
    </row>
    <row r="115" customFormat="false" ht="15" hidden="false" customHeight="false" outlineLevel="0" collapsed="false">
      <c r="A115" s="0" t="str">
        <f aca="false">B115&amp;"|"&amp;C115</f>
        <v>Phoenix Suns|PF</v>
      </c>
      <c r="B115" s="0" t="str">
        <f aca="false">DvP!A115</f>
        <v>Phoenix Suns</v>
      </c>
      <c r="C115" s="0" t="str">
        <f aca="false">DvP!B115</f>
        <v>PF</v>
      </c>
      <c r="D115" s="7" t="n">
        <f aca="false">INDEX(Equipos!$C$2:$C$31,MATCH(B115,Equipos!$A$2:$A$31,0))</f>
        <v>0.83</v>
      </c>
      <c r="E115" s="13" t="n">
        <f aca="false">(DvP!C115-AVERAGEIFS(DvP!$C$2:$C$151,DvP!$B$2:$B$151,C115))/AVERAGEIFS(DvP!$C$2:$C$151,DvP!$B$2:$B$151,C115)</f>
        <v>-0.0574845507491219</v>
      </c>
      <c r="F115" s="13" t="n">
        <f aca="false">(DvP!E115-AVERAGEIFS(DvP!$E$2:$E$151,DvP!$B$2:$B$151,C115))/AVERAGEIFS(DvP!$E$2:$E$151,DvP!$B$2:$B$151,C115)</f>
        <v>0.00247269730063887</v>
      </c>
      <c r="G115" s="13" t="n">
        <f aca="false">(DvP!D115-AVERAGEIFS(DvP!$D$2:$D$151,DvP!$B$2:$B$151,C115))/AVERAGEIFS(DvP!$D$2:$D$151,DvP!$B$2:$B$151,C115)</f>
        <v>-0.0176146504229068</v>
      </c>
      <c r="H115" s="7" t="n">
        <f aca="false">1+MAX(-Parametros!$B$5,MIN(Parametros!$B$5,D115*Parametros!$B$2*E115))</f>
        <v>0.96660147601476</v>
      </c>
      <c r="I115" s="7" t="n">
        <f aca="false">1+MAX(-Parametros!$B$5,MIN(Parametros!$B$5,D115*Parametros!$B$3*F115))</f>
        <v>1.00123140325572</v>
      </c>
      <c r="J115" s="7" t="n">
        <f aca="false">1+MAX(-Parametros!$B$5,MIN(Parametros!$B$5,D115*Parametros!$B$4*G115))</f>
        <v>0.992689920074494</v>
      </c>
    </row>
    <row r="116" customFormat="false" ht="15" hidden="false" customHeight="false" outlineLevel="0" collapsed="false">
      <c r="A116" s="0" t="str">
        <f aca="false">B116&amp;"|"&amp;C116</f>
        <v>Portland Trail Blazers|PF</v>
      </c>
      <c r="B116" s="0" t="str">
        <f aca="false">DvP!A116</f>
        <v>Portland Trail Blazers</v>
      </c>
      <c r="C116" s="0" t="str">
        <f aca="false">DvP!B116</f>
        <v>PF</v>
      </c>
      <c r="D116" s="7" t="n">
        <f aca="false">INDEX(Equipos!$C$2:$C$31,MATCH(B116,Equipos!$A$2:$A$31,0))</f>
        <v>0.779</v>
      </c>
      <c r="E116" s="13" t="n">
        <f aca="false">(DvP!C116-AVERAGEIFS(DvP!$C$2:$C$151,DvP!$B$2:$B$151,C116))/AVERAGEIFS(DvP!$C$2:$C$151,DvP!$B$2:$B$151,C116)</f>
        <v>-0.0414795714222202</v>
      </c>
      <c r="F116" s="13" t="n">
        <f aca="false">(DvP!E116-AVERAGEIFS(DvP!$E$2:$E$151,DvP!$B$2:$B$151,C116))/AVERAGEIFS(DvP!$E$2:$E$151,DvP!$B$2:$B$151,C116)</f>
        <v>-0.0768596744281886</v>
      </c>
      <c r="G116" s="13" t="n">
        <f aca="false">(DvP!D116-AVERAGEIFS(DvP!$D$2:$D$151,DvP!$B$2:$B$151,C116))/AVERAGEIFS(DvP!$D$2:$D$151,DvP!$B$2:$B$151,C116)</f>
        <v>-0.0106308683169085</v>
      </c>
      <c r="H116" s="7" t="n">
        <f aca="false">1+MAX(-Parametros!$B$5,MIN(Parametros!$B$5,D116*Parametros!$B$2*E116))</f>
        <v>0.977381189703463</v>
      </c>
      <c r="I116" s="7" t="n">
        <f aca="false">1+MAX(-Parametros!$B$5,MIN(Parametros!$B$5,D116*Parametros!$B$3*F116))</f>
        <v>0.964075788172265</v>
      </c>
      <c r="J116" s="7" t="n">
        <f aca="false">1+MAX(-Parametros!$B$5,MIN(Parametros!$B$5,D116*Parametros!$B$4*G116))</f>
        <v>0.995859276790564</v>
      </c>
    </row>
    <row r="117" customFormat="false" ht="15" hidden="false" customHeight="false" outlineLevel="0" collapsed="false">
      <c r="A117" s="0" t="str">
        <f aca="false">B117&amp;"|"&amp;C117</f>
        <v>Sacramento Kings|PF</v>
      </c>
      <c r="B117" s="0" t="str">
        <f aca="false">DvP!A117</f>
        <v>Sacramento Kings</v>
      </c>
      <c r="C117" s="0" t="str">
        <f aca="false">DvP!B117</f>
        <v>PF</v>
      </c>
      <c r="D117" s="7" t="n">
        <f aca="false">INDEX(Equipos!$C$2:$C$31,MATCH(B117,Equipos!$A$2:$A$31,0))</f>
        <v>0.903</v>
      </c>
      <c r="E117" s="13" t="n">
        <f aca="false">(DvP!C117-AVERAGEIFS(DvP!$C$2:$C$151,DvP!$B$2:$B$151,C117))/AVERAGEIFS(DvP!$C$2:$C$151,DvP!$B$2:$B$151,C117)</f>
        <v>0.0634419597208022</v>
      </c>
      <c r="F117" s="13" t="n">
        <f aca="false">(DvP!E117-AVERAGEIFS(DvP!$E$2:$E$151,DvP!$B$2:$B$151,C117))/AVERAGEIFS(DvP!$E$2:$E$151,DvP!$B$2:$B$151,C117)</f>
        <v>-0.00473933649289093</v>
      </c>
      <c r="G117" s="13" t="n">
        <f aca="false">(DvP!D117-AVERAGEIFS(DvP!$D$2:$D$151,DvP!$B$2:$B$151,C117))/AVERAGEIFS(DvP!$D$2:$D$151,DvP!$B$2:$B$151,C117)</f>
        <v>0.0615348801117405</v>
      </c>
      <c r="H117" s="7" t="n">
        <f aca="false">1+MAX(-Parametros!$B$5,MIN(Parametros!$B$5,D117*Parametros!$B$2*E117))</f>
        <v>1.04010166273952</v>
      </c>
      <c r="I117" s="7" t="n">
        <f aca="false">1+MAX(-Parametros!$B$5,MIN(Parametros!$B$5,D117*Parametros!$B$3*F117))</f>
        <v>0.997432227488152</v>
      </c>
      <c r="J117" s="7" t="n">
        <f aca="false">1+MAX(-Parametros!$B$5,MIN(Parametros!$B$5,D117*Parametros!$B$4*G117))</f>
        <v>1.02778299837045</v>
      </c>
    </row>
    <row r="118" customFormat="false" ht="15" hidden="false" customHeight="false" outlineLevel="0" collapsed="false">
      <c r="A118" s="0" t="str">
        <f aca="false">B118&amp;"|"&amp;C118</f>
        <v>San Antonio Spurs|PF</v>
      </c>
      <c r="B118" s="0" t="str">
        <f aca="false">DvP!A118</f>
        <v>San Antonio Spurs</v>
      </c>
      <c r="C118" s="0" t="str">
        <f aca="false">DvP!B118</f>
        <v>PF</v>
      </c>
      <c r="D118" s="7" t="n">
        <f aca="false">INDEX(Equipos!$C$2:$C$31,MATCH(B118,Equipos!$A$2:$A$31,0))</f>
        <v>0.926</v>
      </c>
      <c r="E118" s="13" t="n">
        <f aca="false">(DvP!C118-AVERAGEIFS(DvP!$C$2:$C$151,DvP!$B$2:$B$151,C118))/AVERAGEIFS(DvP!$C$2:$C$151,DvP!$B$2:$B$151,C118)</f>
        <v>-0.0930511714755702</v>
      </c>
      <c r="F118" s="13" t="n">
        <f aca="false">(DvP!E118-AVERAGEIFS(DvP!$E$2:$E$151,DvP!$B$2:$B$151,C118))/AVERAGEIFS(DvP!$E$2:$E$151,DvP!$B$2:$B$151,C118)</f>
        <v>-0.052132701421801</v>
      </c>
      <c r="G118" s="13" t="n">
        <f aca="false">(DvP!D118-AVERAGEIFS(DvP!$D$2:$D$151,DvP!$B$2:$B$151,C118))/AVERAGEIFS(DvP!$D$2:$D$151,DvP!$B$2:$B$151,C118)</f>
        <v>-0.134011018856212</v>
      </c>
      <c r="H118" s="7" t="n">
        <f aca="false">1+MAX(-Parametros!$B$5,MIN(Parametros!$B$5,D118*Parametros!$B$2*E118))</f>
        <v>0.939684230649535</v>
      </c>
      <c r="I118" s="7" t="n">
        <f aca="false">1+MAX(-Parametros!$B$5,MIN(Parametros!$B$5,D118*Parametros!$B$3*F118))</f>
        <v>0.971035071090047</v>
      </c>
      <c r="J118" s="7" t="n">
        <f aca="false">1+MAX(-Parametros!$B$5,MIN(Parametros!$B$5,D118*Parametros!$B$4*G118))</f>
        <v>0.937952898269574</v>
      </c>
    </row>
    <row r="119" customFormat="false" ht="15" hidden="false" customHeight="false" outlineLevel="0" collapsed="false">
      <c r="A119" s="0" t="str">
        <f aca="false">B119&amp;"|"&amp;C119</f>
        <v>Toronto Raptors|PF</v>
      </c>
      <c r="B119" s="0" t="str">
        <f aca="false">DvP!A119</f>
        <v>Toronto Raptors</v>
      </c>
      <c r="C119" s="0" t="str">
        <f aca="false">DvP!B119</f>
        <v>PF</v>
      </c>
      <c r="D119" s="7" t="n">
        <f aca="false">INDEX(Equipos!$C$2:$C$31,MATCH(B119,Equipos!$A$2:$A$31,0))</f>
        <v>0.734</v>
      </c>
      <c r="E119" s="13" t="n">
        <f aca="false">(DvP!C119-AVERAGEIFS(DvP!$C$2:$C$151,DvP!$B$2:$B$151,C119))/AVERAGEIFS(DvP!$C$2:$C$151,DvP!$B$2:$B$151,C119)</f>
        <v>-0.021473347263593</v>
      </c>
      <c r="F119" s="13" t="n">
        <f aca="false">(DvP!E119-AVERAGEIFS(DvP!$E$2:$E$151,DvP!$B$2:$B$151,C119))/AVERAGEIFS(DvP!$E$2:$E$151,DvP!$B$2:$B$151,C119)</f>
        <v>0.0282299608489595</v>
      </c>
      <c r="G119" s="13" t="n">
        <f aca="false">(DvP!D119-AVERAGEIFS(DvP!$D$2:$D$151,DvP!$B$2:$B$151,C119))/AVERAGEIFS(DvP!$D$2:$D$151,DvP!$B$2:$B$151,C119)</f>
        <v>-0.0851245441142236</v>
      </c>
      <c r="H119" s="7" t="n">
        <f aca="false">1+MAX(-Parametros!$B$5,MIN(Parametros!$B$5,D119*Parametros!$B$2*E119))</f>
        <v>0.988966994175966</v>
      </c>
      <c r="I119" s="7" t="n">
        <f aca="false">1+MAX(-Parametros!$B$5,MIN(Parametros!$B$5,D119*Parametros!$B$3*F119))</f>
        <v>1.01243247475788</v>
      </c>
      <c r="J119" s="7" t="n">
        <f aca="false">1+MAX(-Parametros!$B$5,MIN(Parametros!$B$5,D119*Parametros!$B$4*G119))</f>
        <v>0.96875929231008</v>
      </c>
    </row>
    <row r="120" customFormat="false" ht="15" hidden="false" customHeight="false" outlineLevel="0" collapsed="false">
      <c r="A120" s="0" t="str">
        <f aca="false">B120&amp;"|"&amp;C120</f>
        <v>Utah Jazz|PF</v>
      </c>
      <c r="B120" s="0" t="str">
        <f aca="false">DvP!A120</f>
        <v>Utah Jazz</v>
      </c>
      <c r="C120" s="0" t="str">
        <f aca="false">DvP!B120</f>
        <v>PF</v>
      </c>
      <c r="D120" s="7" t="n">
        <f aca="false">INDEX(Equipos!$C$2:$C$31,MATCH(B120,Equipos!$A$2:$A$31,0))</f>
        <v>0.841</v>
      </c>
      <c r="E120" s="13" t="n">
        <f aca="false">(DvP!C120-AVERAGEIFS(DvP!$C$2:$C$151,DvP!$B$2:$B$151,C120))/AVERAGEIFS(DvP!$C$2:$C$151,DvP!$B$2:$B$151,C120)</f>
        <v>0.0612190459253991</v>
      </c>
      <c r="F120" s="13" t="n">
        <f aca="false">(DvP!E120-AVERAGEIFS(DvP!$E$2:$E$151,DvP!$B$2:$B$151,C120))/AVERAGEIFS(DvP!$E$2:$E$151,DvP!$B$2:$B$151,C120)</f>
        <v>-0.0263754378734803</v>
      </c>
      <c r="G120" s="13" t="n">
        <f aca="false">(DvP!D120-AVERAGEIFS(DvP!$D$2:$D$151,DvP!$B$2:$B$151,C120))/AVERAGEIFS(DvP!$D$2:$D$151,DvP!$B$2:$B$151,C120)</f>
        <v>0.203538449600372</v>
      </c>
      <c r="H120" s="7" t="n">
        <f aca="false">1+MAX(-Parametros!$B$5,MIN(Parametros!$B$5,D120*Parametros!$B$2*E120))</f>
        <v>1.03603965233628</v>
      </c>
      <c r="I120" s="7" t="n">
        <f aca="false">1+MAX(-Parametros!$B$5,MIN(Parametros!$B$5,D120*Parametros!$B$3*F120))</f>
        <v>0.986690954049042</v>
      </c>
      <c r="J120" s="7" t="n">
        <f aca="false">1+MAX(-Parametros!$B$5,MIN(Parametros!$B$5,D120*Parametros!$B$4*G120))</f>
        <v>1.08558791805696</v>
      </c>
    </row>
    <row r="121" customFormat="false" ht="15" hidden="false" customHeight="false" outlineLevel="0" collapsed="false">
      <c r="A121" s="0" t="str">
        <f aca="false">B121&amp;"|"&amp;C121</f>
        <v>Washington Wizards|PF</v>
      </c>
      <c r="B121" s="0" t="str">
        <f aca="false">DvP!A121</f>
        <v>Washington Wizards</v>
      </c>
      <c r="C121" s="0" t="str">
        <f aca="false">DvP!B121</f>
        <v>PF</v>
      </c>
      <c r="D121" s="7" t="n">
        <f aca="false">INDEX(Equipos!$C$2:$C$31,MATCH(B121,Equipos!$A$2:$A$31,0))</f>
        <v>0.841</v>
      </c>
      <c r="E121" s="13" t="n">
        <f aca="false">(DvP!C121-AVERAGEIFS(DvP!$C$2:$C$151,DvP!$B$2:$B$151,C121))/AVERAGEIFS(DvP!$C$2:$C$151,DvP!$B$2:$B$151,C121)</f>
        <v>0.147468101187036</v>
      </c>
      <c r="F121" s="13" t="n">
        <f aca="false">(DvP!E121-AVERAGEIFS(DvP!$E$2:$E$151,DvP!$B$2:$B$151,C121))/AVERAGEIFS(DvP!$E$2:$E$151,DvP!$B$2:$B$151,C121)</f>
        <v>0.130228724500309</v>
      </c>
      <c r="G121" s="13" t="n">
        <f aca="false">(DvP!D121-AVERAGEIFS(DvP!$D$2:$D$151,DvP!$B$2:$B$151,C121))/AVERAGEIFS(DvP!$D$2:$D$151,DvP!$B$2:$B$151,C121)</f>
        <v>0.115077209591061</v>
      </c>
      <c r="H121" s="7" t="n">
        <f aca="false">1+MAX(-Parametros!$B$5,MIN(Parametros!$B$5,D121*Parametros!$B$2*E121))</f>
        <v>1.08681447116881</v>
      </c>
      <c r="I121" s="7" t="n">
        <f aca="false">1+MAX(-Parametros!$B$5,MIN(Parametros!$B$5,D121*Parametros!$B$3*F121))</f>
        <v>1.06571341438286</v>
      </c>
      <c r="J121" s="7" t="n">
        <f aca="false">1+MAX(-Parametros!$B$5,MIN(Parametros!$B$5,D121*Parametros!$B$4*G121))</f>
        <v>1.04838996663304</v>
      </c>
    </row>
    <row r="122" customFormat="false" ht="15" hidden="false" customHeight="false" outlineLevel="0" collapsed="false">
      <c r="A122" s="0" t="str">
        <f aca="false">B122&amp;"|"&amp;C122</f>
        <v>Atlanta Hawks|C</v>
      </c>
      <c r="B122" s="0" t="str">
        <f aca="false">DvP!A122</f>
        <v>Atlanta Hawks</v>
      </c>
      <c r="C122" s="0" t="str">
        <f aca="false">DvP!B122</f>
        <v>C</v>
      </c>
      <c r="D122" s="7" t="n">
        <f aca="false">INDEX(Equipos!$C$2:$C$31,MATCH(B122,Equipos!$A$2:$A$31,0))</f>
        <v>0.738</v>
      </c>
      <c r="E122" s="13" t="n">
        <f aca="false">(DvP!C122-AVERAGEIFS(DvP!$C$2:$C$151,DvP!$B$2:$B$151,C122))/AVERAGEIFS(DvP!$C$2:$C$151,DvP!$B$2:$B$151,C122)</f>
        <v>0.0205463987356063</v>
      </c>
      <c r="F122" s="13" t="n">
        <f aca="false">(DvP!E122-AVERAGEIFS(DvP!$E$2:$E$151,DvP!$B$2:$B$151,C122))/AVERAGEIFS(DvP!$E$2:$E$151,DvP!$B$2:$B$151,C122)</f>
        <v>0.0756999814574448</v>
      </c>
      <c r="G122" s="13" t="n">
        <f aca="false">(DvP!D122-AVERAGEIFS(DvP!$D$2:$D$151,DvP!$B$2:$B$151,C122))/AVERAGEIFS(DvP!$D$2:$D$151,DvP!$B$2:$B$151,C122)</f>
        <v>0.0251182515087262</v>
      </c>
      <c r="H122" s="7" t="n">
        <f aca="false">1+MAX(-Parametros!$B$5,MIN(Parametros!$B$5,D122*Parametros!$B$2*E122))</f>
        <v>1.01061426958681</v>
      </c>
      <c r="I122" s="7" t="n">
        <f aca="false">1+MAX(-Parametros!$B$5,MIN(Parametros!$B$5,D122*Parametros!$B$3*F122))</f>
        <v>1.03351995178936</v>
      </c>
      <c r="J122" s="7" t="n">
        <f aca="false">1+MAX(-Parametros!$B$5,MIN(Parametros!$B$5,D122*Parametros!$B$4*G122))</f>
        <v>1.00926863480672</v>
      </c>
    </row>
    <row r="123" customFormat="false" ht="15" hidden="false" customHeight="false" outlineLevel="0" collapsed="false">
      <c r="A123" s="0" t="str">
        <f aca="false">B123&amp;"|"&amp;C123</f>
        <v>Brooklyn Nets|C</v>
      </c>
      <c r="B123" s="0" t="str">
        <f aca="false">DvP!A123</f>
        <v>Brooklyn Nets</v>
      </c>
      <c r="C123" s="0" t="str">
        <f aca="false">DvP!B123</f>
        <v>C</v>
      </c>
      <c r="D123" s="7" t="n">
        <f aca="false">INDEX(Equipos!$C$2:$C$31,MATCH(B123,Equipos!$A$2:$A$31,0))</f>
        <v>0.822</v>
      </c>
      <c r="E123" s="13" t="n">
        <f aca="false">(DvP!C123-AVERAGEIFS(DvP!$C$2:$C$151,DvP!$B$2:$B$151,C123))/AVERAGEIFS(DvP!$C$2:$C$151,DvP!$B$2:$B$151,C123)</f>
        <v>0.0485436893203883</v>
      </c>
      <c r="F123" s="13" t="n">
        <f aca="false">(DvP!E123-AVERAGEIFS(DvP!$E$2:$E$151,DvP!$B$2:$B$151,C123))/AVERAGEIFS(DvP!$E$2:$E$151,DvP!$B$2:$B$151,C123)</f>
        <v>-0.0279065455219729</v>
      </c>
      <c r="G123" s="13" t="n">
        <f aca="false">(DvP!D123-AVERAGEIFS(DvP!$D$2:$D$151,DvP!$B$2:$B$151,C123))/AVERAGEIFS(DvP!$D$2:$D$151,DvP!$B$2:$B$151,C123)</f>
        <v>-0.155928885989235</v>
      </c>
      <c r="H123" s="7" t="n">
        <f aca="false">1+MAX(-Parametros!$B$5,MIN(Parametros!$B$5,D123*Parametros!$B$2*E123))</f>
        <v>1.02793203883495</v>
      </c>
      <c r="I123" s="7" t="n">
        <f aca="false">1+MAX(-Parametros!$B$5,MIN(Parametros!$B$5,D123*Parametros!$B$3*F123))</f>
        <v>0.986236491748563</v>
      </c>
      <c r="J123" s="7" t="n">
        <f aca="false">1+MAX(-Parametros!$B$5,MIN(Parametros!$B$5,D123*Parametros!$B$4*G123))</f>
        <v>0.935913227858425</v>
      </c>
    </row>
    <row r="124" customFormat="false" ht="15" hidden="false" customHeight="false" outlineLevel="0" collapsed="false">
      <c r="A124" s="0" t="str">
        <f aca="false">B124&amp;"|"&amp;C124</f>
        <v>Boston Celtics|C</v>
      </c>
      <c r="B124" s="0" t="str">
        <f aca="false">DvP!A124</f>
        <v>Boston Celtics</v>
      </c>
      <c r="C124" s="0" t="str">
        <f aca="false">DvP!B124</f>
        <v>C</v>
      </c>
      <c r="D124" s="7" t="n">
        <f aca="false">INDEX(Equipos!$C$2:$C$31,MATCH(B124,Equipos!$A$2:$A$31,0))</f>
        <v>0.753</v>
      </c>
      <c r="E124" s="13" t="n">
        <f aca="false">(DvP!C124-AVERAGEIFS(DvP!$C$2:$C$151,DvP!$B$2:$B$151,C124))/AVERAGEIFS(DvP!$C$2:$C$151,DvP!$B$2:$B$151,C124)</f>
        <v>-0.0684127342515241</v>
      </c>
      <c r="F124" s="13" t="n">
        <f aca="false">(DvP!E124-AVERAGEIFS(DvP!$E$2:$E$151,DvP!$B$2:$B$151,C124))/AVERAGEIFS(DvP!$E$2:$E$151,DvP!$B$2:$B$151,C124)</f>
        <v>-0.1057852772112</v>
      </c>
      <c r="G124" s="13" t="n">
        <f aca="false">(DvP!D124-AVERAGEIFS(DvP!$D$2:$D$151,DvP!$B$2:$B$151,C124))/AVERAGEIFS(DvP!$D$2:$D$151,DvP!$B$2:$B$151,C124)</f>
        <v>-0.106997227206002</v>
      </c>
      <c r="H124" s="7" t="n">
        <f aca="false">1+MAX(-Parametros!$B$5,MIN(Parametros!$B$5,D124*Parametros!$B$2*E124))</f>
        <v>0.963939647776022</v>
      </c>
      <c r="I124" s="7" t="n">
        <f aca="false">1+MAX(-Parametros!$B$5,MIN(Parametros!$B$5,D124*Parametros!$B$3*F124))</f>
        <v>0.95220621175598</v>
      </c>
      <c r="J124" s="7" t="n">
        <f aca="false">1+MAX(-Parametros!$B$5,MIN(Parametros!$B$5,D124*Parametros!$B$4*G124))</f>
        <v>0.95971554395694</v>
      </c>
    </row>
    <row r="125" customFormat="false" ht="15" hidden="false" customHeight="false" outlineLevel="0" collapsed="false">
      <c r="A125" s="0" t="str">
        <f aca="false">B125&amp;"|"&amp;C125</f>
        <v>Charlotte Hornets|C</v>
      </c>
      <c r="B125" s="0" t="str">
        <f aca="false">DvP!A125</f>
        <v>Charlotte Hornets</v>
      </c>
      <c r="C125" s="0" t="str">
        <f aca="false">DvP!B125</f>
        <v>C</v>
      </c>
      <c r="D125" s="7" t="n">
        <f aca="false">INDEX(Equipos!$C$2:$C$31,MATCH(B125,Equipos!$A$2:$A$31,0))</f>
        <v>0.628</v>
      </c>
      <c r="E125" s="13" t="n">
        <f aca="false">(DvP!C125-AVERAGEIFS(DvP!$C$2:$C$151,DvP!$B$2:$B$151,C125))/AVERAGEIFS(DvP!$C$2:$C$151,DvP!$B$2:$B$151,C125)</f>
        <v>-0.0765409799051705</v>
      </c>
      <c r="F125" s="13" t="n">
        <f aca="false">(DvP!E125-AVERAGEIFS(DvP!$E$2:$E$151,DvP!$B$2:$B$151,C125))/AVERAGEIFS(DvP!$E$2:$E$151,DvP!$B$2:$B$151,C125)</f>
        <v>-0.159326905247543</v>
      </c>
      <c r="G125" s="13" t="n">
        <f aca="false">(DvP!D125-AVERAGEIFS(DvP!$D$2:$D$151,DvP!$B$2:$B$151,C125))/AVERAGEIFS(DvP!$D$2:$D$151,DvP!$B$2:$B$151,C125)</f>
        <v>-0.0849779807535475</v>
      </c>
      <c r="H125" s="7" t="n">
        <f aca="false">1+MAX(-Parametros!$B$5,MIN(Parametros!$B$5,D125*Parametros!$B$2*E125))</f>
        <v>0.966352585233687</v>
      </c>
      <c r="I125" s="7" t="n">
        <f aca="false">1+MAX(-Parametros!$B$5,MIN(Parametros!$B$5,D125*Parametros!$B$3*F125))</f>
        <v>0.939965622102726</v>
      </c>
      <c r="J125" s="7" t="n">
        <f aca="false">1+MAX(-Parametros!$B$5,MIN(Parametros!$B$5,D125*Parametros!$B$4*G125))</f>
        <v>0.973316914043386</v>
      </c>
    </row>
    <row r="126" customFormat="false" ht="15" hidden="false" customHeight="false" outlineLevel="0" collapsed="false">
      <c r="A126" s="0" t="str">
        <f aca="false">B126&amp;"|"&amp;C126</f>
        <v>Chicago Bulls|C</v>
      </c>
      <c r="B126" s="0" t="str">
        <f aca="false">DvP!A126</f>
        <v>Chicago Bulls</v>
      </c>
      <c r="C126" s="0" t="str">
        <f aca="false">DvP!B126</f>
        <v>C</v>
      </c>
      <c r="D126" s="7" t="n">
        <f aca="false">INDEX(Equipos!$C$2:$C$31,MATCH(B126,Equipos!$A$2:$A$31,0))</f>
        <v>0.627</v>
      </c>
      <c r="E126" s="13" t="n">
        <f aca="false">(DvP!C126-AVERAGEIFS(DvP!$C$2:$C$151,DvP!$B$2:$B$151,C126))/AVERAGEIFS(DvP!$C$2:$C$151,DvP!$B$2:$B$151,C126)</f>
        <v>0.123052607812147</v>
      </c>
      <c r="F126" s="13" t="n">
        <f aca="false">(DvP!E126-AVERAGEIFS(DvP!$E$2:$E$151,DvP!$B$2:$B$151,C126))/AVERAGEIFS(DvP!$E$2:$E$151,DvP!$B$2:$B$151,C126)</f>
        <v>0.0339792323382161</v>
      </c>
      <c r="G126" s="13" t="n">
        <f aca="false">(DvP!D126-AVERAGEIFS(DvP!$D$2:$D$151,DvP!$B$2:$B$151,C126))/AVERAGEIFS(DvP!$D$2:$D$151,DvP!$B$2:$B$151,C126)</f>
        <v>0.066710161474474</v>
      </c>
      <c r="H126" s="7" t="n">
        <f aca="false">1+MAX(-Parametros!$B$5,MIN(Parametros!$B$5,D126*Parametros!$B$2*E126))</f>
        <v>1.05400778956875</v>
      </c>
      <c r="I126" s="7" t="n">
        <f aca="false">1+MAX(-Parametros!$B$5,MIN(Parametros!$B$5,D126*Parametros!$B$3*F126))</f>
        <v>1.01278298720564</v>
      </c>
      <c r="J126" s="7" t="n">
        <f aca="false">1+MAX(-Parametros!$B$5,MIN(Parametros!$B$5,D126*Parametros!$B$4*G126))</f>
        <v>1.02091363562225</v>
      </c>
    </row>
    <row r="127" customFormat="false" ht="15" hidden="false" customHeight="false" outlineLevel="0" collapsed="false">
      <c r="A127" s="0" t="str">
        <f aca="false">B127&amp;"|"&amp;C127</f>
        <v>Cleveland Cavaliers|C</v>
      </c>
      <c r="B127" s="0" t="str">
        <f aca="false">DvP!A127</f>
        <v>Cleveland Cavaliers</v>
      </c>
      <c r="C127" s="0" t="str">
        <f aca="false">DvP!B127</f>
        <v>C</v>
      </c>
      <c r="D127" s="7" t="n">
        <f aca="false">INDEX(Equipos!$C$2:$C$31,MATCH(B127,Equipos!$A$2:$A$31,0))</f>
        <v>0.73</v>
      </c>
      <c r="E127" s="13" t="n">
        <f aca="false">(DvP!C127-AVERAGEIFS(DvP!$C$2:$C$151,DvP!$B$2:$B$151,C127))/AVERAGEIFS(DvP!$C$2:$C$151,DvP!$B$2:$B$151,C127)</f>
        <v>-0.0336419056220366</v>
      </c>
      <c r="F127" s="13" t="n">
        <f aca="false">(DvP!E127-AVERAGEIFS(DvP!$E$2:$E$151,DvP!$B$2:$B$151,C127))/AVERAGEIFS(DvP!$E$2:$E$151,DvP!$B$2:$B$151,C127)</f>
        <v>0.0145095494159095</v>
      </c>
      <c r="G127" s="13" t="n">
        <f aca="false">(DvP!D127-AVERAGEIFS(DvP!$D$2:$D$151,DvP!$B$2:$B$151,C127))/AVERAGEIFS(DvP!$D$2:$D$151,DvP!$B$2:$B$151,C127)</f>
        <v>-0.0898711466318708</v>
      </c>
      <c r="H127" s="7" t="n">
        <f aca="false">1+MAX(-Parametros!$B$5,MIN(Parametros!$B$5,D127*Parametros!$B$2*E127))</f>
        <v>0.982808986227139</v>
      </c>
      <c r="I127" s="7" t="n">
        <f aca="false">1+MAX(-Parametros!$B$5,MIN(Parametros!$B$5,D127*Parametros!$B$3*F127))</f>
        <v>1.00635518264417</v>
      </c>
      <c r="J127" s="7" t="n">
        <f aca="false">1+MAX(-Parametros!$B$5,MIN(Parametros!$B$5,D127*Parametros!$B$4*G127))</f>
        <v>0.967197031479367</v>
      </c>
    </row>
    <row r="128" customFormat="false" ht="15" hidden="false" customHeight="false" outlineLevel="0" collapsed="false">
      <c r="A128" s="0" t="str">
        <f aca="false">B128&amp;"|"&amp;C128</f>
        <v>Dallas Mavericks|C</v>
      </c>
      <c r="B128" s="0" t="str">
        <f aca="false">DvP!A128</f>
        <v>Dallas Mavericks</v>
      </c>
      <c r="C128" s="0" t="str">
        <f aca="false">DvP!B128</f>
        <v>C</v>
      </c>
      <c r="D128" s="7" t="n">
        <f aca="false">INDEX(Equipos!$C$2:$C$31,MATCH(B128,Equipos!$A$2:$A$31,0))</f>
        <v>0.726</v>
      </c>
      <c r="E128" s="13" t="n">
        <f aca="false">(DvP!C128-AVERAGEIFS(DvP!$C$2:$C$151,DvP!$B$2:$B$151,C128))/AVERAGEIFS(DvP!$C$2:$C$151,DvP!$B$2:$B$151,C128)</f>
        <v>0.112666516143599</v>
      </c>
      <c r="F128" s="13" t="n">
        <f aca="false">(DvP!E128-AVERAGEIFS(DvP!$E$2:$E$151,DvP!$B$2:$B$151,C128))/AVERAGEIFS(DvP!$E$2:$E$151,DvP!$B$2:$B$151,C128)</f>
        <v>0.0569256443537919</v>
      </c>
      <c r="G128" s="13" t="n">
        <f aca="false">(DvP!D128-AVERAGEIFS(DvP!$D$2:$D$151,DvP!$B$2:$B$151,C128))/AVERAGEIFS(DvP!$D$2:$D$151,DvP!$B$2:$B$151,C128)</f>
        <v>0.191485891371717</v>
      </c>
      <c r="H128" s="7" t="n">
        <f aca="false">1+MAX(-Parametros!$B$5,MIN(Parametros!$B$5,D128*Parametros!$B$2*E128))</f>
        <v>1.05725712350418</v>
      </c>
      <c r="I128" s="7" t="n">
        <f aca="false">1+MAX(-Parametros!$B$5,MIN(Parametros!$B$5,D128*Parametros!$B$3*F128))</f>
        <v>1.02479681068051</v>
      </c>
      <c r="J128" s="7" t="n">
        <f aca="false">1+MAX(-Parametros!$B$5,MIN(Parametros!$B$5,D128*Parametros!$B$4*G128))</f>
        <v>1.06950937856793</v>
      </c>
    </row>
    <row r="129" customFormat="false" ht="15" hidden="false" customHeight="false" outlineLevel="0" collapsed="false">
      <c r="A129" s="0" t="str">
        <f aca="false">B129&amp;"|"&amp;C129</f>
        <v>Denver Nuggets|C</v>
      </c>
      <c r="B129" s="0" t="str">
        <f aca="false">DvP!A129</f>
        <v>Denver Nuggets</v>
      </c>
      <c r="C129" s="0" t="str">
        <f aca="false">DvP!B129</f>
        <v>C</v>
      </c>
      <c r="D129" s="7" t="n">
        <f aca="false">INDEX(Equipos!$C$2:$C$31,MATCH(B129,Equipos!$A$2:$A$31,0))</f>
        <v>0.806</v>
      </c>
      <c r="E129" s="13" t="n">
        <f aca="false">(DvP!C129-AVERAGEIFS(DvP!$C$2:$C$151,DvP!$B$2:$B$151,C129))/AVERAGEIFS(DvP!$C$2:$C$151,DvP!$B$2:$B$151,C129)</f>
        <v>-0.00338676902235264</v>
      </c>
      <c r="F129" s="13" t="n">
        <f aca="false">(DvP!E129-AVERAGEIFS(DvP!$E$2:$E$151,DvP!$B$2:$B$151,C129))/AVERAGEIFS(DvP!$E$2:$E$151,DvP!$B$2:$B$151,C129)</f>
        <v>-0.0432041535323568</v>
      </c>
      <c r="G129" s="13" t="n">
        <f aca="false">(DvP!D129-AVERAGEIFS(DvP!$D$2:$D$151,DvP!$B$2:$B$151,C129))/AVERAGEIFS(DvP!$D$2:$D$151,DvP!$B$2:$B$151,C129)</f>
        <v>-0.0898711466318708</v>
      </c>
      <c r="H129" s="7" t="n">
        <f aca="false">1+MAX(-Parametros!$B$5,MIN(Parametros!$B$5,D129*Parametros!$B$2*E129))</f>
        <v>0.998089184917589</v>
      </c>
      <c r="I129" s="7" t="n">
        <f aca="false">1+MAX(-Parametros!$B$5,MIN(Parametros!$B$5,D129*Parametros!$B$3*F129))</f>
        <v>0.979106471351752</v>
      </c>
      <c r="J129" s="7" t="n">
        <f aca="false">1+MAX(-Parametros!$B$5,MIN(Parametros!$B$5,D129*Parametros!$B$4*G129))</f>
        <v>0.963781927907356</v>
      </c>
    </row>
    <row r="130" customFormat="false" ht="15" hidden="false" customHeight="false" outlineLevel="0" collapsed="false">
      <c r="A130" s="0" t="str">
        <f aca="false">B130&amp;"|"&amp;C130</f>
        <v>Detroit Pistons|C</v>
      </c>
      <c r="B130" s="0" t="str">
        <f aca="false">DvP!A130</f>
        <v>Detroit Pistons</v>
      </c>
      <c r="C130" s="0" t="str">
        <f aca="false">DvP!B130</f>
        <v>C</v>
      </c>
      <c r="D130" s="7" t="n">
        <f aca="false">INDEX(Equipos!$C$2:$C$31,MATCH(B130,Equipos!$A$2:$A$31,0))</f>
        <v>0.704</v>
      </c>
      <c r="E130" s="13" t="n">
        <f aca="false">(DvP!C130-AVERAGEIFS(DvP!$C$2:$C$151,DvP!$B$2:$B$151,C130))/AVERAGEIFS(DvP!$C$2:$C$151,DvP!$B$2:$B$151,C130)</f>
        <v>-0.116730638970422</v>
      </c>
      <c r="F130" s="13" t="n">
        <f aca="false">(DvP!E130-AVERAGEIFS(DvP!$E$2:$E$151,DvP!$B$2:$B$151,C130))/AVERAGEIFS(DvP!$E$2:$E$151,DvP!$B$2:$B$151,C130)</f>
        <v>-0.0988318190246616</v>
      </c>
      <c r="G130" s="13" t="n">
        <f aca="false">(DvP!D130-AVERAGEIFS(DvP!$D$2:$D$151,DvP!$B$2:$B$151,C130))/AVERAGEIFS(DvP!$D$2:$D$151,DvP!$B$2:$B$151,C130)</f>
        <v>-0.116783558962649</v>
      </c>
      <c r="H130" s="7" t="n">
        <f aca="false">1+MAX(-Parametros!$B$5,MIN(Parametros!$B$5,D130*Parametros!$B$2*E130))</f>
        <v>0.942475141115376</v>
      </c>
      <c r="I130" s="7" t="n">
        <f aca="false">1+MAX(-Parametros!$B$5,MIN(Parametros!$B$5,D130*Parametros!$B$3*F130))</f>
        <v>0.958253439643983</v>
      </c>
      <c r="J130" s="7" t="n">
        <f aca="false">1+MAX(-Parametros!$B$5,MIN(Parametros!$B$5,D130*Parametros!$B$4*G130))</f>
        <v>0.958892187245148</v>
      </c>
    </row>
    <row r="131" customFormat="false" ht="15" hidden="false" customHeight="false" outlineLevel="0" collapsed="false">
      <c r="A131" s="0" t="str">
        <f aca="false">B131&amp;"|"&amp;C131</f>
        <v>Golden State Warriors|C</v>
      </c>
      <c r="B131" s="0" t="str">
        <f aca="false">DvP!A131</f>
        <v>Golden State Warriors</v>
      </c>
      <c r="C131" s="0" t="str">
        <f aca="false">DvP!B131</f>
        <v>C</v>
      </c>
      <c r="D131" s="7" t="n">
        <f aca="false">INDEX(Equipos!$C$2:$C$31,MATCH(B131,Equipos!$A$2:$A$31,0))</f>
        <v>0.893</v>
      </c>
      <c r="E131" s="13" t="n">
        <f aca="false">(DvP!C131-AVERAGEIFS(DvP!$C$2:$C$151,DvP!$B$2:$B$151,C131))/AVERAGEIFS(DvP!$C$2:$C$151,DvP!$B$2:$B$151,C131)</f>
        <v>0.0115150146759991</v>
      </c>
      <c r="F131" s="13" t="n">
        <f aca="false">(DvP!E131-AVERAGEIFS(DvP!$E$2:$E$151,DvP!$B$2:$B$151,C131))/AVERAGEIFS(DvP!$E$2:$E$151,DvP!$B$2:$B$151,C131)</f>
        <v>0.0576209901724458</v>
      </c>
      <c r="G131" s="13" t="n">
        <f aca="false">(DvP!D131-AVERAGEIFS(DvP!$D$2:$D$151,DvP!$B$2:$B$151,C131))/AVERAGEIFS(DvP!$D$2:$D$151,DvP!$B$2:$B$151,C131)</f>
        <v>0.122981569075192</v>
      </c>
      <c r="H131" s="7" t="n">
        <f aca="false">1+MAX(-Parametros!$B$5,MIN(Parametros!$B$5,D131*Parametros!$B$2*E131))</f>
        <v>1.00719803567397</v>
      </c>
      <c r="I131" s="7" t="n">
        <f aca="false">1+MAX(-Parametros!$B$5,MIN(Parametros!$B$5,D131*Parametros!$B$3*F131))</f>
        <v>1.0308733265344</v>
      </c>
      <c r="J131" s="7" t="n">
        <f aca="false">1+MAX(-Parametros!$B$5,MIN(Parametros!$B$5,D131*Parametros!$B$4*G131))</f>
        <v>1.05491127059207</v>
      </c>
    </row>
    <row r="132" customFormat="false" ht="15" hidden="false" customHeight="false" outlineLevel="0" collapsed="false">
      <c r="A132" s="0" t="str">
        <f aca="false">B132&amp;"|"&amp;C132</f>
        <v>Houston Rockets|C</v>
      </c>
      <c r="B132" s="0" t="str">
        <f aca="false">DvP!A132</f>
        <v>Houston Rockets</v>
      </c>
      <c r="C132" s="0" t="str">
        <f aca="false">DvP!B132</f>
        <v>C</v>
      </c>
      <c r="D132" s="7" t="n">
        <f aca="false">INDEX(Equipos!$C$2:$C$31,MATCH(B132,Equipos!$A$2:$A$31,0))</f>
        <v>0.861</v>
      </c>
      <c r="E132" s="13" t="n">
        <f aca="false">(DvP!C132-AVERAGEIFS(DvP!$C$2:$C$151,DvP!$B$2:$B$151,C132))/AVERAGEIFS(DvP!$C$2:$C$151,DvP!$B$2:$B$151,C132)</f>
        <v>-0.0702190110634455</v>
      </c>
      <c r="F132" s="13" t="n">
        <f aca="false">(DvP!E132-AVERAGEIFS(DvP!$E$2:$E$151,DvP!$B$2:$B$151,C132))/AVERAGEIFS(DvP!$E$2:$E$151,DvP!$B$2:$B$151,C132)</f>
        <v>-0.0835342110142778</v>
      </c>
      <c r="G132" s="13" t="n">
        <f aca="false">(DvP!D132-AVERAGEIFS(DvP!$D$2:$D$151,DvP!$B$2:$B$151,C132))/AVERAGEIFS(DvP!$D$2:$D$151,DvP!$B$2:$B$151,C132)</f>
        <v>-0.021366824335345</v>
      </c>
      <c r="H132" s="7" t="n">
        <f aca="false">1+MAX(-Parametros!$B$5,MIN(Parametros!$B$5,D132*Parametros!$B$2*E132))</f>
        <v>0.957679002032062</v>
      </c>
      <c r="I132" s="7" t="n">
        <f aca="false">1+MAX(-Parametros!$B$5,MIN(Parametros!$B$5,D132*Parametros!$B$3*F132))</f>
        <v>0.956846226590024</v>
      </c>
      <c r="J132" s="7" t="n">
        <f aca="false">1+MAX(-Parametros!$B$5,MIN(Parametros!$B$5,D132*Parametros!$B$4*G132))</f>
        <v>0.990801582123634</v>
      </c>
    </row>
    <row r="133" customFormat="false" ht="15" hidden="false" customHeight="false" outlineLevel="0" collapsed="false">
      <c r="A133" s="0" t="str">
        <f aca="false">B133&amp;"|"&amp;C133</f>
        <v>Indiana Pacers|C</v>
      </c>
      <c r="B133" s="0" t="str">
        <f aca="false">DvP!A133</f>
        <v>Indiana Pacers</v>
      </c>
      <c r="C133" s="0" t="str">
        <f aca="false">DvP!B133</f>
        <v>C</v>
      </c>
      <c r="D133" s="7" t="n">
        <f aca="false">INDEX(Equipos!$C$2:$C$31,MATCH(B133,Equipos!$A$2:$A$31,0))</f>
        <v>0.819</v>
      </c>
      <c r="E133" s="13" t="n">
        <f aca="false">(DvP!C133-AVERAGEIFS(DvP!$C$2:$C$151,DvP!$B$2:$B$151,C133))/AVERAGEIFS(DvP!$C$2:$C$151,DvP!$B$2:$B$151,C133)</f>
        <v>0.0747347030932491</v>
      </c>
      <c r="F133" s="13" t="n">
        <f aca="false">(DvP!E133-AVERAGEIFS(DvP!$E$2:$E$151,DvP!$B$2:$B$151,C133))/AVERAGEIFS(DvP!$E$2:$E$151,DvP!$B$2:$B$151,C133)</f>
        <v>0.0423233821620619</v>
      </c>
      <c r="G133" s="13" t="n">
        <f aca="false">(DvP!D133-AVERAGEIFS(DvP!$D$2:$D$151,DvP!$B$2:$B$151,C133))/AVERAGEIFS(DvP!$D$2:$D$151,DvP!$B$2:$B$151,C133)</f>
        <v>0.0349045832653728</v>
      </c>
      <c r="H133" s="7" t="n">
        <f aca="false">1+MAX(-Parametros!$B$5,MIN(Parametros!$B$5,D133*Parametros!$B$2*E133))</f>
        <v>1.04284540528336</v>
      </c>
      <c r="I133" s="7" t="n">
        <f aca="false">1+MAX(-Parametros!$B$5,MIN(Parametros!$B$5,D133*Parametros!$B$3*F133))</f>
        <v>1.02079770999444</v>
      </c>
      <c r="J133" s="7" t="n">
        <f aca="false">1+MAX(-Parametros!$B$5,MIN(Parametros!$B$5,D133*Parametros!$B$4*G133))</f>
        <v>1.01429342684717</v>
      </c>
    </row>
    <row r="134" customFormat="false" ht="15" hidden="false" customHeight="false" outlineLevel="0" collapsed="false">
      <c r="A134" s="0" t="str">
        <f aca="false">B134&amp;"|"&amp;C134</f>
        <v>Los Angeles Clippers|C</v>
      </c>
      <c r="B134" s="0" t="str">
        <f aca="false">DvP!A134</f>
        <v>Los Angeles Clippers</v>
      </c>
      <c r="C134" s="0" t="str">
        <f aca="false">DvP!B134</f>
        <v>C</v>
      </c>
      <c r="D134" s="7" t="n">
        <f aca="false">INDEX(Equipos!$C$2:$C$31,MATCH(B134,Equipos!$A$2:$A$31,0))</f>
        <v>0.63</v>
      </c>
      <c r="E134" s="13" t="n">
        <f aca="false">(DvP!C134-AVERAGEIFS(DvP!$C$2:$C$151,DvP!$B$2:$B$151,C134))/AVERAGEIFS(DvP!$C$2:$C$151,DvP!$B$2:$B$151,C134)</f>
        <v>-0.0101603070670579</v>
      </c>
      <c r="F134" s="13" t="n">
        <f aca="false">(DvP!E134-AVERAGEIFS(DvP!$E$2:$E$151,DvP!$B$2:$B$151,C134))/AVERAGEIFS(DvP!$E$2:$E$151,DvP!$B$2:$B$151,C134)</f>
        <v>-0.0258205080660116</v>
      </c>
      <c r="G134" s="13" t="n">
        <f aca="false">(DvP!D134-AVERAGEIFS(DvP!$D$2:$D$151,DvP!$B$2:$B$151,C134))/AVERAGEIFS(DvP!$D$2:$D$151,DvP!$B$2:$B$151,C134)</f>
        <v>-0.0972108954493558</v>
      </c>
      <c r="H134" s="7" t="n">
        <f aca="false">1+MAX(-Parametros!$B$5,MIN(Parametros!$B$5,D134*Parametros!$B$2*E134))</f>
        <v>0.995519304583427</v>
      </c>
      <c r="I134" s="7" t="n">
        <f aca="false">1+MAX(-Parametros!$B$5,MIN(Parametros!$B$5,D134*Parametros!$B$3*F134))</f>
        <v>0.990239847951048</v>
      </c>
      <c r="J134" s="7" t="n">
        <f aca="false">1+MAX(-Parametros!$B$5,MIN(Parametros!$B$5,D134*Parametros!$B$4*G134))</f>
        <v>0.969378567933453</v>
      </c>
    </row>
    <row r="135" customFormat="false" ht="15" hidden="false" customHeight="false" outlineLevel="0" collapsed="false">
      <c r="A135" s="0" t="str">
        <f aca="false">B135&amp;"|"&amp;C135</f>
        <v>Los Angeles Lakers|C</v>
      </c>
      <c r="B135" s="0" t="str">
        <f aca="false">DvP!A135</f>
        <v>Los Angeles Lakers</v>
      </c>
      <c r="C135" s="0" t="str">
        <f aca="false">DvP!B135</f>
        <v>C</v>
      </c>
      <c r="D135" s="7" t="n">
        <f aca="false">INDEX(Equipos!$C$2:$C$31,MATCH(B135,Equipos!$A$2:$A$31,0))</f>
        <v>0.453</v>
      </c>
      <c r="E135" s="13" t="n">
        <f aca="false">(DvP!C135-AVERAGEIFS(DvP!$C$2:$C$151,DvP!$B$2:$B$151,C135))/AVERAGEIFS(DvP!$C$2:$C$151,DvP!$B$2:$B$151,C135)</f>
        <v>-0.0584782117859561</v>
      </c>
      <c r="F135" s="13" t="n">
        <f aca="false">(DvP!E135-AVERAGEIFS(DvP!$E$2:$E$151,DvP!$B$2:$B$151,C135))/AVERAGEIFS(DvP!$E$2:$E$151,DvP!$B$2:$B$151,C135)</f>
        <v>-0.0494622659002411</v>
      </c>
      <c r="G135" s="13" t="n">
        <f aca="false">(DvP!D135-AVERAGEIFS(DvP!$D$2:$D$151,DvP!$B$2:$B$151,C135))/AVERAGEIFS(DvP!$D$2:$D$151,DvP!$B$2:$B$151,C135)</f>
        <v>0.10585548850106</v>
      </c>
      <c r="H135" s="7" t="n">
        <f aca="false">1+MAX(-Parametros!$B$5,MIN(Parametros!$B$5,D135*Parametros!$B$2*E135))</f>
        <v>0.981456559042673</v>
      </c>
      <c r="I135" s="7" t="n">
        <f aca="false">1+MAX(-Parametros!$B$5,MIN(Parametros!$B$5,D135*Parametros!$B$3*F135))</f>
        <v>0.986556156128315</v>
      </c>
      <c r="J135" s="7" t="n">
        <f aca="false">1+MAX(-Parametros!$B$5,MIN(Parametros!$B$5,D135*Parametros!$B$4*G135))</f>
        <v>1.02397626814549</v>
      </c>
    </row>
    <row r="136" customFormat="false" ht="15" hidden="false" customHeight="false" outlineLevel="0" collapsed="false">
      <c r="A136" s="0" t="str">
        <f aca="false">B136&amp;"|"&amp;C136</f>
        <v>Memphis Grizzlies|C</v>
      </c>
      <c r="B136" s="0" t="str">
        <f aca="false">DvP!A136</f>
        <v>Memphis Grizzlies</v>
      </c>
      <c r="C136" s="0" t="str">
        <f aca="false">DvP!B136</f>
        <v>C</v>
      </c>
      <c r="D136" s="7" t="n">
        <f aca="false">INDEX(Equipos!$C$2:$C$31,MATCH(B136,Equipos!$A$2:$A$31,0))</f>
        <v>0.738</v>
      </c>
      <c r="E136" s="13" t="n">
        <f aca="false">(DvP!C136-AVERAGEIFS(DvP!$C$2:$C$151,DvP!$B$2:$B$151,C136))/AVERAGEIFS(DvP!$C$2:$C$151,DvP!$B$2:$B$151,C136)</f>
        <v>0.0386091668548205</v>
      </c>
      <c r="F136" s="13" t="n">
        <f aca="false">(DvP!E136-AVERAGEIFS(DvP!$E$2:$E$151,DvP!$B$2:$B$151,C136))/AVERAGEIFS(DvP!$E$2:$E$151,DvP!$B$2:$B$151,C136)</f>
        <v>0.0909975894678286</v>
      </c>
      <c r="G136" s="13" t="n">
        <f aca="false">(DvP!D136-AVERAGEIFS(DvP!$D$2:$D$151,DvP!$B$2:$B$151,C136))/AVERAGEIFS(DvP!$D$2:$D$151,DvP!$B$2:$B$151,C136)</f>
        <v>0.132767900831838</v>
      </c>
      <c r="H136" s="7" t="n">
        <f aca="false">1+MAX(-Parametros!$B$5,MIN(Parametros!$B$5,D136*Parametros!$B$2*E136))</f>
        <v>1.0199454955972</v>
      </c>
      <c r="I136" s="7" t="n">
        <f aca="false">1+MAX(-Parametros!$B$5,MIN(Parametros!$B$5,D136*Parametros!$B$3*F136))</f>
        <v>1.04029373261635</v>
      </c>
      <c r="J136" s="7" t="n">
        <f aca="false">1+MAX(-Parametros!$B$5,MIN(Parametros!$B$5,D136*Parametros!$B$4*G136))</f>
        <v>1.04899135540695</v>
      </c>
    </row>
    <row r="137" customFormat="false" ht="15" hidden="false" customHeight="false" outlineLevel="0" collapsed="false">
      <c r="A137" s="0" t="str">
        <f aca="false">B137&amp;"|"&amp;C137</f>
        <v>Miami Heat|C</v>
      </c>
      <c r="B137" s="0" t="str">
        <f aca="false">DvP!A137</f>
        <v>Miami Heat</v>
      </c>
      <c r="C137" s="0" t="str">
        <f aca="false">DvP!B137</f>
        <v>C</v>
      </c>
      <c r="D137" s="7" t="n">
        <f aca="false">INDEX(Equipos!$C$2:$C$31,MATCH(B137,Equipos!$A$2:$A$31,0))</f>
        <v>0.579</v>
      </c>
      <c r="E137" s="13" t="n">
        <f aca="false">(DvP!C137-AVERAGEIFS(DvP!$C$2:$C$151,DvP!$B$2:$B$151,C137))/AVERAGEIFS(DvP!$C$2:$C$151,DvP!$B$2:$B$151,C137)</f>
        <v>0.00203206141341168</v>
      </c>
      <c r="F137" s="13" t="n">
        <f aca="false">(DvP!E137-AVERAGEIFS(DvP!$E$2:$E$151,DvP!$B$2:$B$151,C137))/AVERAGEIFS(DvP!$E$2:$E$151,DvP!$B$2:$B$151,C137)</f>
        <v>0.0298071574262933</v>
      </c>
      <c r="G137" s="13" t="n">
        <f aca="false">(DvP!D137-AVERAGEIFS(DvP!$D$2:$D$151,DvP!$B$2:$B$151,C137))/AVERAGEIFS(DvP!$D$2:$D$151,DvP!$B$2:$B$151,C137)</f>
        <v>-0.0751916489969011</v>
      </c>
      <c r="H137" s="7" t="n">
        <f aca="false">1+MAX(-Parametros!$B$5,MIN(Parametros!$B$5,D137*Parametros!$B$2*E137))</f>
        <v>1.00082359449086</v>
      </c>
      <c r="I137" s="7" t="n">
        <f aca="false">1+MAX(-Parametros!$B$5,MIN(Parametros!$B$5,D137*Parametros!$B$3*F137))</f>
        <v>1.01035500648989</v>
      </c>
      <c r="J137" s="7" t="n">
        <f aca="false">1+MAX(-Parametros!$B$5,MIN(Parametros!$B$5,D137*Parametros!$B$4*G137))</f>
        <v>0.978232017615397</v>
      </c>
    </row>
    <row r="138" customFormat="false" ht="15" hidden="false" customHeight="false" outlineLevel="0" collapsed="false">
      <c r="A138" s="0" t="str">
        <f aca="false">B138&amp;"|"&amp;C138</f>
        <v>Milwaukee Bucks|C</v>
      </c>
      <c r="B138" s="0" t="str">
        <f aca="false">DvP!A138</f>
        <v>Milwaukee Bucks</v>
      </c>
      <c r="C138" s="0" t="str">
        <f aca="false">DvP!B138</f>
        <v>C</v>
      </c>
      <c r="D138" s="7" t="n">
        <f aca="false">INDEX(Equipos!$C$2:$C$31,MATCH(B138,Equipos!$A$2:$A$31,0))</f>
        <v>0.733</v>
      </c>
      <c r="E138" s="13" t="n">
        <f aca="false">(DvP!C138-AVERAGEIFS(DvP!$C$2:$C$151,DvP!$B$2:$B$151,C138))/AVERAGEIFS(DvP!$C$2:$C$151,DvP!$B$2:$B$151,C138)</f>
        <v>-0.0399638744637615</v>
      </c>
      <c r="F138" s="13" t="n">
        <f aca="false">(DvP!E138-AVERAGEIFS(DvP!$E$2:$E$151,DvP!$B$2:$B$151,C138))/AVERAGEIFS(DvP!$E$2:$E$151,DvP!$B$2:$B$151,C138)</f>
        <v>-0.0279065455219729</v>
      </c>
      <c r="G138" s="13" t="n">
        <f aca="false">(DvP!D138-AVERAGEIFS(DvP!$D$2:$D$151,DvP!$B$2:$B$151,C138))/AVERAGEIFS(DvP!$D$2:$D$151,DvP!$B$2:$B$151,C138)</f>
        <v>-0.114336976023487</v>
      </c>
      <c r="H138" s="7" t="n">
        <f aca="false">1+MAX(-Parametros!$B$5,MIN(Parametros!$B$5,D138*Parametros!$B$2*E138))</f>
        <v>0.979494536012644</v>
      </c>
      <c r="I138" s="7" t="n">
        <f aca="false">1+MAX(-Parametros!$B$5,MIN(Parametros!$B$5,D138*Parametros!$B$3*F138))</f>
        <v>0.987726701279436</v>
      </c>
      <c r="J138" s="7" t="n">
        <f aca="false">1+MAX(-Parametros!$B$5,MIN(Parametros!$B$5,D138*Parametros!$B$4*G138))</f>
        <v>0.958095498287392</v>
      </c>
    </row>
    <row r="139" customFormat="false" ht="15" hidden="false" customHeight="false" outlineLevel="0" collapsed="false">
      <c r="A139" s="0" t="str">
        <f aca="false">B139&amp;"|"&amp;C139</f>
        <v>Minnesota Timberwolves|C</v>
      </c>
      <c r="B139" s="0" t="str">
        <f aca="false">DvP!A139</f>
        <v>Minnesota Timberwolves</v>
      </c>
      <c r="C139" s="0" t="str">
        <f aca="false">DvP!B139</f>
        <v>C</v>
      </c>
      <c r="D139" s="7" t="n">
        <f aca="false">INDEX(Equipos!$C$2:$C$31,MATCH(B139,Equipos!$A$2:$A$31,0))</f>
        <v>0.671</v>
      </c>
      <c r="E139" s="13" t="n">
        <f aca="false">(DvP!C139-AVERAGEIFS(DvP!$C$2:$C$151,DvP!$B$2:$B$151,C139))/AVERAGEIFS(DvP!$C$2:$C$151,DvP!$B$2:$B$151,C139)</f>
        <v>0.0413185820727026</v>
      </c>
      <c r="F139" s="13" t="n">
        <f aca="false">(DvP!E139-AVERAGEIFS(DvP!$E$2:$E$151,DvP!$B$2:$B$151,C139))/AVERAGEIFS(DvP!$E$2:$E$151,DvP!$B$2:$B$151,C139)</f>
        <v>0.000602633042833298</v>
      </c>
      <c r="G139" s="13" t="n">
        <f aca="false">(DvP!D139-AVERAGEIFS(DvP!$D$2:$D$151,DvP!$B$2:$B$151,C139))/AVERAGEIFS(DvP!$D$2:$D$151,DvP!$B$2:$B$151,C139)</f>
        <v>0.203718806067526</v>
      </c>
      <c r="H139" s="7" t="n">
        <f aca="false">1+MAX(-Parametros!$B$5,MIN(Parametros!$B$5,D139*Parametros!$B$2*E139))</f>
        <v>1.01940733799955</v>
      </c>
      <c r="I139" s="7" t="n">
        <f aca="false">1+MAX(-Parametros!$B$5,MIN(Parametros!$B$5,D139*Parametros!$B$3*F139))</f>
        <v>1.00024262006304</v>
      </c>
      <c r="J139" s="7" t="n">
        <f aca="false">1+MAX(-Parametros!$B$5,MIN(Parametros!$B$5,D139*Parametros!$B$4*G139))</f>
        <v>1.06834765943566</v>
      </c>
    </row>
    <row r="140" customFormat="false" ht="15" hidden="false" customHeight="false" outlineLevel="0" collapsed="false">
      <c r="A140" s="0" t="str">
        <f aca="false">B140&amp;"|"&amp;C140</f>
        <v>New Orleans Pelicans|C</v>
      </c>
      <c r="B140" s="0" t="str">
        <f aca="false">DvP!A140</f>
        <v>New Orleans Pelicans</v>
      </c>
      <c r="C140" s="0" t="str">
        <f aca="false">DvP!B140</f>
        <v>C</v>
      </c>
      <c r="D140" s="7" t="n">
        <f aca="false">INDEX(Equipos!$C$2:$C$31,MATCH(B140,Equipos!$A$2:$A$31,0))</f>
        <v>0.859</v>
      </c>
      <c r="E140" s="13" t="n">
        <f aca="false">(DvP!C140-AVERAGEIFS(DvP!$C$2:$C$151,DvP!$B$2:$B$151,C140))/AVERAGEIFS(DvP!$C$2:$C$151,DvP!$B$2:$B$151,C140)</f>
        <v>0.0638970422217204</v>
      </c>
      <c r="F140" s="13" t="n">
        <f aca="false">(DvP!E140-AVERAGEIFS(DvP!$E$2:$E$151,DvP!$B$2:$B$151,C140))/AVERAGEIFS(DvP!$E$2:$E$151,DvP!$B$2:$B$151,C140)</f>
        <v>0.0770906730947524</v>
      </c>
      <c r="G140" s="13" t="n">
        <f aca="false">(DvP!D140-AVERAGEIFS(DvP!$D$2:$D$151,DvP!$B$2:$B$151,C140))/AVERAGEIFS(DvP!$D$2:$D$151,DvP!$B$2:$B$151,C140)</f>
        <v>0.0544772467786657</v>
      </c>
      <c r="H140" s="7" t="n">
        <f aca="false">1+MAX(-Parametros!$B$5,MIN(Parametros!$B$5,D140*Parametros!$B$2*E140))</f>
        <v>1.03842129148792</v>
      </c>
      <c r="I140" s="7" t="n">
        <f aca="false">1+MAX(-Parametros!$B$5,MIN(Parametros!$B$5,D140*Parametros!$B$3*F140))</f>
        <v>1.03973253291304</v>
      </c>
      <c r="J140" s="7" t="n">
        <f aca="false">1+MAX(-Parametros!$B$5,MIN(Parametros!$B$5,D140*Parametros!$B$4*G140))</f>
        <v>1.02339797749144</v>
      </c>
    </row>
    <row r="141" customFormat="false" ht="15" hidden="false" customHeight="false" outlineLevel="0" collapsed="false">
      <c r="A141" s="0" t="str">
        <f aca="false">B141&amp;"|"&amp;C141</f>
        <v>New York Knicks|C</v>
      </c>
      <c r="B141" s="0" t="str">
        <f aca="false">DvP!A141</f>
        <v>New York Knicks</v>
      </c>
      <c r="C141" s="0" t="str">
        <f aca="false">DvP!B141</f>
        <v>C</v>
      </c>
      <c r="D141" s="7" t="n">
        <f aca="false">INDEX(Equipos!$C$2:$C$31,MATCH(B141,Equipos!$A$2:$A$31,0))</f>
        <v>0.93</v>
      </c>
      <c r="E141" s="13" t="n">
        <f aca="false">(DvP!C141-AVERAGEIFS(DvP!$C$2:$C$151,DvP!$B$2:$B$151,C141))/AVERAGEIFS(DvP!$C$2:$C$151,DvP!$B$2:$B$151,C141)</f>
        <v>-0.0941521788214044</v>
      </c>
      <c r="F141" s="13" t="n">
        <f aca="false">(DvP!E141-AVERAGEIFS(DvP!$E$2:$E$151,DvP!$B$2:$B$151,C141))/AVERAGEIFS(DvP!$E$2:$E$151,DvP!$B$2:$B$151,C141)</f>
        <v>-0.102308548117931</v>
      </c>
      <c r="G141" s="13" t="n">
        <f aca="false">(DvP!D141-AVERAGEIFS(DvP!$D$2:$D$151,DvP!$B$2:$B$151,C141))/AVERAGEIFS(DvP!$D$2:$D$151,DvP!$B$2:$B$151,C141)</f>
        <v>-0.165715217745882</v>
      </c>
      <c r="H141" s="7" t="n">
        <f aca="false">1+MAX(-Parametros!$B$5,MIN(Parametros!$B$5,D141*Parametros!$B$2*E141))</f>
        <v>0.938706931587266</v>
      </c>
      <c r="I141" s="7" t="n">
        <f aca="false">1+MAX(-Parametros!$B$5,MIN(Parametros!$B$5,D141*Parametros!$B$3*F141))</f>
        <v>0.942911830150195</v>
      </c>
      <c r="J141" s="7" t="n">
        <f aca="false">1+MAX(-Parametros!$B$5,MIN(Parametros!$B$5,D141*Parametros!$B$4*G141))</f>
        <v>0.922942423748165</v>
      </c>
    </row>
    <row r="142" customFormat="false" ht="15" hidden="false" customHeight="false" outlineLevel="0" collapsed="false">
      <c r="A142" s="0" t="str">
        <f aca="false">B142&amp;"|"&amp;C142</f>
        <v>Oklahoma City Thunder|C</v>
      </c>
      <c r="B142" s="0" t="str">
        <f aca="false">DvP!A142</f>
        <v>Oklahoma City Thunder</v>
      </c>
      <c r="C142" s="0" t="str">
        <f aca="false">DvP!B142</f>
        <v>C</v>
      </c>
      <c r="D142" s="7" t="n">
        <f aca="false">INDEX(Equipos!$C$2:$C$31,MATCH(B142,Equipos!$A$2:$A$31,0))</f>
        <v>0.873</v>
      </c>
      <c r="E142" s="13" t="n">
        <f aca="false">(DvP!C142-AVERAGEIFS(DvP!$C$2:$C$151,DvP!$B$2:$B$151,C142))/AVERAGEIFS(DvP!$C$2:$C$151,DvP!$B$2:$B$151,C142)</f>
        <v>-0.093700609618424</v>
      </c>
      <c r="F142" s="13" t="n">
        <f aca="false">(DvP!E142-AVERAGEIFS(DvP!$E$2:$E$151,DvP!$B$2:$B$151,C142))/AVERAGEIFS(DvP!$E$2:$E$151,DvP!$B$2:$B$151,C142)</f>
        <v>-0.00217875023178201</v>
      </c>
      <c r="G142" s="13" t="n">
        <f aca="false">(DvP!D142-AVERAGEIFS(DvP!$D$2:$D$151,DvP!$B$2:$B$151,C142))/AVERAGEIFS(DvP!$D$2:$D$151,DvP!$B$2:$B$151,C142)</f>
        <v>-0.0605121513619312</v>
      </c>
      <c r="H142" s="7" t="n">
        <f aca="false">1+MAX(-Parametros!$B$5,MIN(Parametros!$B$5,D142*Parametros!$B$2*E142))</f>
        <v>0.942739557462181</v>
      </c>
      <c r="I142" s="7" t="n">
        <f aca="false">1+MAX(-Parametros!$B$5,MIN(Parametros!$B$5,D142*Parametros!$B$3*F142))</f>
        <v>0.998858770628593</v>
      </c>
      <c r="J142" s="7" t="n">
        <f aca="false">1+MAX(-Parametros!$B$5,MIN(Parametros!$B$5,D142*Parametros!$B$4*G142))</f>
        <v>0.973586445930517</v>
      </c>
    </row>
    <row r="143" customFormat="false" ht="15" hidden="false" customHeight="false" outlineLevel="0" collapsed="false">
      <c r="A143" s="0" t="str">
        <f aca="false">B143&amp;"|"&amp;C143</f>
        <v>Orlando Magic|C</v>
      </c>
      <c r="B143" s="0" t="str">
        <f aca="false">DvP!A143</f>
        <v>Orlando Magic</v>
      </c>
      <c r="C143" s="0" t="str">
        <f aca="false">DvP!B143</f>
        <v>C</v>
      </c>
      <c r="D143" s="7" t="n">
        <f aca="false">INDEX(Equipos!$C$2:$C$31,MATCH(B143,Equipos!$A$2:$A$31,0))</f>
        <v>0.915</v>
      </c>
      <c r="E143" s="13" t="n">
        <f aca="false">(DvP!C143-AVERAGEIFS(DvP!$C$2:$C$151,DvP!$B$2:$B$151,C143))/AVERAGEIFS(DvP!$C$2:$C$151,DvP!$B$2:$B$151,C143)</f>
        <v>-0.123504177015128</v>
      </c>
      <c r="F143" s="13" t="n">
        <f aca="false">(DvP!E143-AVERAGEIFS(DvP!$E$2:$E$151,DvP!$B$2:$B$151,C143))/AVERAGEIFS(DvP!$E$2:$E$151,DvP!$B$2:$B$151,C143)</f>
        <v>-0.0494622659002411</v>
      </c>
      <c r="G143" s="13" t="n">
        <f aca="false">(DvP!D143-AVERAGEIFS(DvP!$D$2:$D$151,DvP!$B$2:$B$151,C143))/AVERAGEIFS(DvP!$D$2:$D$151,DvP!$B$2:$B$151,C143)</f>
        <v>-0.0507258196052847</v>
      </c>
      <c r="H143" s="7" t="n">
        <f aca="false">1+MAX(-Parametros!$B$5,MIN(Parametros!$B$5,D143*Parametros!$B$2*E143))</f>
        <v>0.920895574621811</v>
      </c>
      <c r="I143" s="7" t="n">
        <f aca="false">1+MAX(-Parametros!$B$5,MIN(Parametros!$B$5,D143*Parametros!$B$3*F143))</f>
        <v>0.972845216020768</v>
      </c>
      <c r="J143" s="7" t="n">
        <f aca="false">1+MAX(-Parametros!$B$5,MIN(Parametros!$B$5,D143*Parametros!$B$4*G143))</f>
        <v>0.976792937530582</v>
      </c>
    </row>
    <row r="144" customFormat="false" ht="15" hidden="false" customHeight="false" outlineLevel="0" collapsed="false">
      <c r="A144" s="0" t="str">
        <f aca="false">B144&amp;"|"&amp;C144</f>
        <v>Philadelphia 76ers|C</v>
      </c>
      <c r="B144" s="0" t="str">
        <f aca="false">DvP!A144</f>
        <v>Philadelphia 76ers</v>
      </c>
      <c r="C144" s="0" t="str">
        <f aca="false">DvP!B144</f>
        <v>C</v>
      </c>
      <c r="D144" s="7" t="n">
        <f aca="false">INDEX(Equipos!$C$2:$C$31,MATCH(B144,Equipos!$A$2:$A$31,0))</f>
        <v>0.583</v>
      </c>
      <c r="E144" s="13" t="n">
        <f aca="false">(DvP!C144-AVERAGEIFS(DvP!$C$2:$C$151,DvP!$B$2:$B$151,C144))/AVERAGEIFS(DvP!$C$2:$C$151,DvP!$B$2:$B$151,C144)</f>
        <v>-0.0191916911266652</v>
      </c>
      <c r="F144" s="13" t="n">
        <f aca="false">(DvP!E144-AVERAGEIFS(DvP!$E$2:$E$151,DvP!$B$2:$B$151,C144))/AVERAGEIFS(DvP!$E$2:$E$151,DvP!$B$2:$B$151,C144)</f>
        <v>0.0353699239755238</v>
      </c>
      <c r="G144" s="13" t="n">
        <f aca="false">(DvP!D144-AVERAGEIFS(DvP!$D$2:$D$151,DvP!$B$2:$B$151,C144))/AVERAGEIFS(DvP!$D$2:$D$151,DvP!$B$2:$B$151,C144)</f>
        <v>-0.00913390963953686</v>
      </c>
      <c r="H144" s="7" t="n">
        <f aca="false">1+MAX(-Parametros!$B$5,MIN(Parametros!$B$5,D144*Parametros!$B$2*E144))</f>
        <v>0.992167870851208</v>
      </c>
      <c r="I144" s="7" t="n">
        <f aca="false">1+MAX(-Parametros!$B$5,MIN(Parametros!$B$5,D144*Parametros!$B$3*F144))</f>
        <v>1.01237239940664</v>
      </c>
      <c r="J144" s="7" t="n">
        <f aca="false">1+MAX(-Parametros!$B$5,MIN(Parametros!$B$5,D144*Parametros!$B$4*G144))</f>
        <v>0.997337465340075</v>
      </c>
    </row>
    <row r="145" customFormat="false" ht="15" hidden="false" customHeight="false" outlineLevel="0" collapsed="false">
      <c r="A145" s="0" t="str">
        <f aca="false">B145&amp;"|"&amp;C145</f>
        <v>Phoenix Suns|C</v>
      </c>
      <c r="B145" s="0" t="str">
        <f aca="false">DvP!A145</f>
        <v>Phoenix Suns</v>
      </c>
      <c r="C145" s="0" t="str">
        <f aca="false">DvP!B145</f>
        <v>C</v>
      </c>
      <c r="D145" s="7" t="n">
        <f aca="false">INDEX(Equipos!$C$2:$C$31,MATCH(B145,Equipos!$A$2:$A$31,0))</f>
        <v>0.83</v>
      </c>
      <c r="E145" s="13" t="n">
        <f aca="false">(DvP!C145-AVERAGEIFS(DvP!$C$2:$C$151,DvP!$B$2:$B$151,C145))/AVERAGEIFS(DvP!$C$2:$C$151,DvP!$B$2:$B$151,C145)</f>
        <v>-0.0517046737412508</v>
      </c>
      <c r="F145" s="13" t="n">
        <f aca="false">(DvP!E145-AVERAGEIFS(DvP!$E$2:$E$151,DvP!$B$2:$B$151,C145))/AVERAGEIFS(DvP!$E$2:$E$151,DvP!$B$2:$B$151,C145)</f>
        <v>0.0117281661412943</v>
      </c>
      <c r="G145" s="13" t="n">
        <f aca="false">(DvP!D145-AVERAGEIFS(DvP!$D$2:$D$151,DvP!$B$2:$B$151,C145))/AVERAGEIFS(DvP!$D$2:$D$151,DvP!$B$2:$B$151,C145)</f>
        <v>0.032458000326211</v>
      </c>
      <c r="H145" s="7" t="n">
        <f aca="false">1+MAX(-Parametros!$B$5,MIN(Parametros!$B$5,D145*Parametros!$B$2*E145))</f>
        <v>0.969959584556333</v>
      </c>
      <c r="I145" s="7" t="n">
        <f aca="false">1+MAX(-Parametros!$B$5,MIN(Parametros!$B$5,D145*Parametros!$B$3*F145))</f>
        <v>1.00584062673836</v>
      </c>
      <c r="J145" s="7" t="n">
        <f aca="false">1+MAX(-Parametros!$B$5,MIN(Parametros!$B$5,D145*Parametros!$B$4*G145))</f>
        <v>1.01347007013538</v>
      </c>
    </row>
    <row r="146" customFormat="false" ht="15" hidden="false" customHeight="false" outlineLevel="0" collapsed="false">
      <c r="A146" s="0" t="str">
        <f aca="false">B146&amp;"|"&amp;C146</f>
        <v>Portland Trail Blazers|C</v>
      </c>
      <c r="B146" s="0" t="str">
        <f aca="false">DvP!A146</f>
        <v>Portland Trail Blazers</v>
      </c>
      <c r="C146" s="0" t="str">
        <f aca="false">DvP!B146</f>
        <v>C</v>
      </c>
      <c r="D146" s="7" t="n">
        <f aca="false">INDEX(Equipos!$C$2:$C$31,MATCH(B146,Equipos!$A$2:$A$31,0))</f>
        <v>0.779</v>
      </c>
      <c r="E146" s="13" t="n">
        <f aca="false">(DvP!C146-AVERAGEIFS(DvP!$C$2:$C$151,DvP!$B$2:$B$151,C146))/AVERAGEIFS(DvP!$C$2:$C$151,DvP!$B$2:$B$151,C146)</f>
        <v>0.10137728606909</v>
      </c>
      <c r="F146" s="13" t="n">
        <f aca="false">(DvP!E146-AVERAGEIFS(DvP!$E$2:$E$151,DvP!$B$2:$B$151,C146))/AVERAGEIFS(DvP!$E$2:$E$151,DvP!$B$2:$B$151,C146)</f>
        <v>-0.0119135916929353</v>
      </c>
      <c r="G146" s="13" t="n">
        <f aca="false">(DvP!D146-AVERAGEIFS(DvP!$D$2:$D$151,DvP!$B$2:$B$151,C146))/AVERAGEIFS(DvP!$D$2:$D$151,DvP!$B$2:$B$151,C146)</f>
        <v>0.0862828249877671</v>
      </c>
      <c r="H146" s="7" t="n">
        <f aca="false">1+MAX(-Parametros!$B$5,MIN(Parametros!$B$5,D146*Parametros!$B$2*E146))</f>
        <v>1.05528103409347</v>
      </c>
      <c r="I146" s="7" t="n">
        <f aca="false">1+MAX(-Parametros!$B$5,MIN(Parametros!$B$5,D146*Parametros!$B$3*F146))</f>
        <v>0.994431587242722</v>
      </c>
      <c r="J146" s="7" t="n">
        <f aca="false">1+MAX(-Parametros!$B$5,MIN(Parametros!$B$5,D146*Parametros!$B$4*G146))</f>
        <v>1.03360716033274</v>
      </c>
    </row>
    <row r="147" customFormat="false" ht="15" hidden="false" customHeight="false" outlineLevel="0" collapsed="false">
      <c r="A147" s="0" t="str">
        <f aca="false">B147&amp;"|"&amp;C147</f>
        <v>Sacramento Kings|C</v>
      </c>
      <c r="B147" s="0" t="str">
        <f aca="false">DvP!A147</f>
        <v>Sacramento Kings</v>
      </c>
      <c r="C147" s="0" t="str">
        <f aca="false">DvP!B147</f>
        <v>C</v>
      </c>
      <c r="D147" s="7" t="n">
        <f aca="false">INDEX(Equipos!$C$2:$C$31,MATCH(B147,Equipos!$A$2:$A$31,0))</f>
        <v>0.903</v>
      </c>
      <c r="E147" s="13" t="n">
        <f aca="false">(DvP!C147-AVERAGEIFS(DvP!$C$2:$C$151,DvP!$B$2:$B$151,C147))/AVERAGEIFS(DvP!$C$2:$C$151,DvP!$B$2:$B$151,C147)</f>
        <v>0.0526078121472115</v>
      </c>
      <c r="F147" s="13" t="n">
        <f aca="false">(DvP!E147-AVERAGEIFS(DvP!$E$2:$E$151,DvP!$B$2:$B$151,C147))/AVERAGEIFS(DvP!$E$2:$E$151,DvP!$B$2:$B$151,C147)</f>
        <v>0.0631837567216761</v>
      </c>
      <c r="G147" s="13" t="n">
        <f aca="false">(DvP!D147-AVERAGEIFS(DvP!$D$2:$D$151,DvP!$B$2:$B$151,C147))/AVERAGEIFS(DvP!$D$2:$D$151,DvP!$B$2:$B$151,C147)</f>
        <v>0.0373511662045343</v>
      </c>
      <c r="H147" s="7" t="n">
        <f aca="false">1+MAX(-Parametros!$B$5,MIN(Parametros!$B$5,D147*Parametros!$B$2*E147))</f>
        <v>1.03325339805825</v>
      </c>
      <c r="I147" s="7" t="n">
        <f aca="false">1+MAX(-Parametros!$B$5,MIN(Parametros!$B$5,D147*Parametros!$B$3*F147))</f>
        <v>1.0342329593918</v>
      </c>
      <c r="J147" s="7" t="n">
        <f aca="false">1+MAX(-Parametros!$B$5,MIN(Parametros!$B$5,D147*Parametros!$B$4*G147))</f>
        <v>1.01686405154135</v>
      </c>
    </row>
    <row r="148" customFormat="false" ht="15" hidden="false" customHeight="false" outlineLevel="0" collapsed="false">
      <c r="A148" s="0" t="str">
        <f aca="false">B148&amp;"|"&amp;C148</f>
        <v>San Antonio Spurs|C</v>
      </c>
      <c r="B148" s="0" t="str">
        <f aca="false">DvP!A148</f>
        <v>San Antonio Spurs</v>
      </c>
      <c r="C148" s="0" t="str">
        <f aca="false">DvP!B148</f>
        <v>C</v>
      </c>
      <c r="D148" s="7" t="n">
        <f aca="false">INDEX(Equipos!$C$2:$C$31,MATCH(B148,Equipos!$A$2:$A$31,0))</f>
        <v>0.926</v>
      </c>
      <c r="E148" s="13" t="n">
        <f aca="false">(DvP!C148-AVERAGEIFS(DvP!$C$2:$C$151,DvP!$B$2:$B$151,C148))/AVERAGEIFS(DvP!$C$2:$C$151,DvP!$B$2:$B$151,C148)</f>
        <v>-0.0295777827952134</v>
      </c>
      <c r="F148" s="13" t="n">
        <f aca="false">(DvP!E148-AVERAGEIFS(DvP!$E$2:$E$151,DvP!$B$2:$B$151,C148))/AVERAGEIFS(DvP!$E$2:$E$151,DvP!$B$2:$B$151,C148)</f>
        <v>0.00547005377340999</v>
      </c>
      <c r="G148" s="13" t="n">
        <f aca="false">(DvP!D148-AVERAGEIFS(DvP!$D$2:$D$151,DvP!$B$2:$B$151,C148))/AVERAGEIFS(DvP!$D$2:$D$151,DvP!$B$2:$B$151,C148)</f>
        <v>0.181699559615071</v>
      </c>
      <c r="H148" s="7" t="n">
        <f aca="false">1+MAX(-Parametros!$B$5,MIN(Parametros!$B$5,D148*Parametros!$B$2*E148))</f>
        <v>0.980827681192143</v>
      </c>
      <c r="I148" s="7" t="n">
        <f aca="false">1+MAX(-Parametros!$B$5,MIN(Parametros!$B$5,D148*Parametros!$B$3*F148))</f>
        <v>1.00303916187651</v>
      </c>
      <c r="J148" s="7" t="n">
        <f aca="false">1+MAX(-Parametros!$B$5,MIN(Parametros!$B$5,D148*Parametros!$B$4*G148))</f>
        <v>1.08412689610178</v>
      </c>
    </row>
    <row r="149" customFormat="false" ht="15" hidden="false" customHeight="false" outlineLevel="0" collapsed="false">
      <c r="A149" s="0" t="str">
        <f aca="false">B149&amp;"|"&amp;C149</f>
        <v>Toronto Raptors|C</v>
      </c>
      <c r="B149" s="0" t="str">
        <f aca="false">DvP!A149</f>
        <v>Toronto Raptors</v>
      </c>
      <c r="C149" s="0" t="str">
        <f aca="false">DvP!B149</f>
        <v>C</v>
      </c>
      <c r="D149" s="7" t="n">
        <f aca="false">INDEX(Equipos!$C$2:$C$31,MATCH(B149,Equipos!$A$2:$A$31,0))</f>
        <v>0.734</v>
      </c>
      <c r="E149" s="13" t="n">
        <f aca="false">(DvP!C149-AVERAGEIFS(DvP!$C$2:$C$151,DvP!$B$2:$B$151,C149))/AVERAGEIFS(DvP!$C$2:$C$151,DvP!$B$2:$B$151,C149)</f>
        <v>-0.0828629487468955</v>
      </c>
      <c r="F149" s="13" t="n">
        <f aca="false">(DvP!E149-AVERAGEIFS(DvP!$E$2:$E$151,DvP!$B$2:$B$151,C149))/AVERAGEIFS(DvP!$E$2:$E$151,DvP!$B$2:$B$151,C149)</f>
        <v>-0.000788058594474417</v>
      </c>
      <c r="G149" s="13" t="n">
        <f aca="false">(DvP!D149-AVERAGEIFS(DvP!$D$2:$D$151,DvP!$B$2:$B$151,C149))/AVERAGEIFS(DvP!$D$2:$D$151,DvP!$B$2:$B$151,C149)</f>
        <v>-0.16326863480672</v>
      </c>
      <c r="H149" s="7" t="n">
        <f aca="false">1+MAX(-Parametros!$B$5,MIN(Parametros!$B$5,D149*Parametros!$B$2*E149))</f>
        <v>0.957425016933845</v>
      </c>
      <c r="I149" s="7" t="n">
        <f aca="false">1+MAX(-Parametros!$B$5,MIN(Parametros!$B$5,D149*Parametros!$B$3*F149))</f>
        <v>0.999652938994993</v>
      </c>
      <c r="J149" s="7" t="n">
        <f aca="false">1+MAX(-Parametros!$B$5,MIN(Parametros!$B$5,D149*Parametros!$B$4*G149))</f>
        <v>0.940080411025934</v>
      </c>
    </row>
    <row r="150" customFormat="false" ht="15" hidden="false" customHeight="false" outlineLevel="0" collapsed="false">
      <c r="A150" s="0" t="str">
        <f aca="false">B150&amp;"|"&amp;C150</f>
        <v>Utah Jazz|C</v>
      </c>
      <c r="B150" s="0" t="str">
        <f aca="false">DvP!A150</f>
        <v>Utah Jazz</v>
      </c>
      <c r="C150" s="0" t="str">
        <f aca="false">DvP!B150</f>
        <v>C</v>
      </c>
      <c r="D150" s="7" t="n">
        <f aca="false">INDEX(Equipos!$C$2:$C$31,MATCH(B150,Equipos!$A$2:$A$31,0))</f>
        <v>0.841</v>
      </c>
      <c r="E150" s="13" t="n">
        <f aca="false">(DvP!C150-AVERAGEIFS(DvP!$C$2:$C$151,DvP!$B$2:$B$151,C150))/AVERAGEIFS(DvP!$C$2:$C$151,DvP!$B$2:$B$151,C150)</f>
        <v>0.0806051027319937</v>
      </c>
      <c r="F150" s="13" t="n">
        <f aca="false">(DvP!E150-AVERAGEIFS(DvP!$E$2:$E$151,DvP!$B$2:$B$151,C150))/AVERAGEIFS(DvP!$E$2:$E$151,DvP!$B$2:$B$151,C150)</f>
        <v>0.0513628778045614</v>
      </c>
      <c r="G150" s="13" t="n">
        <f aca="false">(DvP!D150-AVERAGEIFS(DvP!$D$2:$D$151,DvP!$B$2:$B$151,C150))/AVERAGEIFS(DvP!$D$2:$D$151,DvP!$B$2:$B$151,C150)</f>
        <v>0.0471374979611809</v>
      </c>
      <c r="H150" s="7" t="n">
        <f aca="false">1+MAX(-Parametros!$B$5,MIN(Parametros!$B$5,D150*Parametros!$B$2*E150))</f>
        <v>1.04745222397832</v>
      </c>
      <c r="I150" s="7" t="n">
        <f aca="false">1+MAX(-Parametros!$B$5,MIN(Parametros!$B$5,D150*Parametros!$B$3*F150))</f>
        <v>1.02591770814018</v>
      </c>
      <c r="J150" s="7" t="n">
        <f aca="false">1+MAX(-Parametros!$B$5,MIN(Parametros!$B$5,D150*Parametros!$B$4*G150))</f>
        <v>1.01982131789268</v>
      </c>
    </row>
    <row r="151" customFormat="false" ht="15" hidden="false" customHeight="false" outlineLevel="0" collapsed="false">
      <c r="A151" s="0" t="str">
        <f aca="false">B151&amp;"|"&amp;C151</f>
        <v>Washington Wizards|C</v>
      </c>
      <c r="B151" s="0" t="str">
        <f aca="false">DvP!A151</f>
        <v>Washington Wizards</v>
      </c>
      <c r="C151" s="0" t="str">
        <f aca="false">DvP!B151</f>
        <v>C</v>
      </c>
      <c r="D151" s="7" t="n">
        <f aca="false">INDEX(Equipos!$C$2:$C$31,MATCH(B151,Equipos!$A$2:$A$31,0))</f>
        <v>0.841</v>
      </c>
      <c r="E151" s="13" t="n">
        <f aca="false">(DvP!C151-AVERAGEIFS(DvP!$C$2:$C$151,DvP!$B$2:$B$151,C151))/AVERAGEIFS(DvP!$C$2:$C$151,DvP!$B$2:$B$151,C151)</f>
        <v>0.200722510724769</v>
      </c>
      <c r="F151" s="13" t="n">
        <f aca="false">(DvP!E151-AVERAGEIFS(DvP!$E$2:$E$151,DvP!$B$2:$B$151,C151))/AVERAGEIFS(DvP!$E$2:$E$151,DvP!$B$2:$B$151,C151)</f>
        <v>0.141757834229557</v>
      </c>
      <c r="G151" s="13" t="n">
        <f aca="false">(DvP!D151-AVERAGEIFS(DvP!$D$2:$D$151,DvP!$B$2:$B$151,C151))/AVERAGEIFS(DvP!$D$2:$D$151,DvP!$B$2:$B$151,C151)</f>
        <v>0.0789430761702822</v>
      </c>
      <c r="H151" s="7" t="n">
        <f aca="false">1+MAX(-Parametros!$B$5,MIN(Parametros!$B$5,D151*Parametros!$B$2*E151))</f>
        <v>1.11816534206367</v>
      </c>
      <c r="I151" s="7" t="n">
        <f aca="false">1+MAX(-Parametros!$B$5,MIN(Parametros!$B$5,D151*Parametros!$B$3*F151))</f>
        <v>1.07153100315223</v>
      </c>
      <c r="J151" s="7" t="n">
        <f aca="false">1+MAX(-Parametros!$B$5,MIN(Parametros!$B$5,D151*Parametros!$B$4*G151))</f>
        <v>1.0331955635296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1"/>
    <col collapsed="false" customWidth="true" hidden="false" outlineLevel="0" max="4" min="4" style="0" width="2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11" min="8" style="0" width="7"/>
    <col collapsed="false" customWidth="true" hidden="false" outlineLevel="0" max="17" min="12" style="0" width="9"/>
  </cols>
  <sheetData>
    <row r="1" customFormat="false" ht="28.35" hidden="false" customHeight="false" outlineLevel="0" collapsed="false">
      <c r="A1" s="5" t="s">
        <v>1</v>
      </c>
      <c r="B1" s="5" t="s">
        <v>223</v>
      </c>
      <c r="C1" s="5" t="s">
        <v>224</v>
      </c>
      <c r="D1" s="5" t="s">
        <v>225</v>
      </c>
      <c r="E1" s="5" t="s">
        <v>215</v>
      </c>
      <c r="F1" s="5" t="s">
        <v>226</v>
      </c>
      <c r="G1" s="5" t="s">
        <v>227</v>
      </c>
      <c r="H1" s="5" t="s">
        <v>146</v>
      </c>
      <c r="I1" s="5" t="s">
        <v>16</v>
      </c>
      <c r="J1" s="5" t="s">
        <v>17</v>
      </c>
      <c r="K1" s="5" t="s">
        <v>18</v>
      </c>
      <c r="L1" s="5" t="s">
        <v>228</v>
      </c>
      <c r="M1" s="5" t="s">
        <v>229</v>
      </c>
      <c r="N1" s="5" t="s">
        <v>230</v>
      </c>
      <c r="O1" s="5" t="s">
        <v>231</v>
      </c>
      <c r="P1" s="5" t="s">
        <v>232</v>
      </c>
      <c r="Q1" s="5" t="s">
        <v>233</v>
      </c>
    </row>
    <row r="2" customFormat="false" ht="15" hidden="false" customHeight="false" outlineLevel="0" collapsed="false">
      <c r="A2" s="0" t="s">
        <v>2</v>
      </c>
      <c r="B2" s="0" t="s">
        <v>130</v>
      </c>
      <c r="C2" s="0" t="s">
        <v>130</v>
      </c>
      <c r="D2" s="0" t="s">
        <v>234</v>
      </c>
      <c r="E2" s="3" t="s">
        <v>208</v>
      </c>
      <c r="G2" s="8" t="s">
        <v>235</v>
      </c>
      <c r="H2" s="0" t="n">
        <v>35.8</v>
      </c>
      <c r="I2" s="0" t="n">
        <v>33.5</v>
      </c>
      <c r="J2" s="0" t="n">
        <v>7.7</v>
      </c>
      <c r="K2" s="0" t="n">
        <v>8.3</v>
      </c>
      <c r="L2" s="0" t="n">
        <v>1.302</v>
      </c>
      <c r="M2" s="0" t="n">
        <v>0.225</v>
      </c>
      <c r="N2" s="0" t="n">
        <v>0.395</v>
      </c>
      <c r="O2" s="8" t="n">
        <f aca="false">ROUND(I2+L2,2)</f>
        <v>34.8</v>
      </c>
      <c r="P2" s="8" t="n">
        <f aca="false">ROUND(J2+M2,2)</f>
        <v>7.93</v>
      </c>
      <c r="Q2" s="8" t="n">
        <f aca="false">ROUND(K2+N2,2)</f>
        <v>8.7</v>
      </c>
    </row>
    <row r="3" customFormat="false" ht="15" hidden="false" customHeight="false" outlineLevel="0" collapsed="false">
      <c r="A3" s="0" t="s">
        <v>236</v>
      </c>
      <c r="B3" s="0" t="s">
        <v>158</v>
      </c>
      <c r="C3" s="0" t="s">
        <v>158</v>
      </c>
      <c r="D3" s="0" t="s">
        <v>234</v>
      </c>
      <c r="E3" s="3" t="s">
        <v>208</v>
      </c>
      <c r="G3" s="8" t="s">
        <v>235</v>
      </c>
      <c r="H3" s="0" t="n">
        <v>33.2</v>
      </c>
      <c r="I3" s="0" t="n">
        <v>31.1</v>
      </c>
      <c r="J3" s="0" t="n">
        <v>4.3</v>
      </c>
      <c r="K3" s="0" t="n">
        <v>6.6</v>
      </c>
      <c r="L3" s="0" t="n">
        <v>1.202</v>
      </c>
      <c r="M3" s="0" t="n">
        <v>0.147</v>
      </c>
      <c r="N3" s="0" t="n">
        <v>0.15</v>
      </c>
      <c r="O3" s="8" t="n">
        <f aca="false">ROUND(I3+L3,2)</f>
        <v>32.3</v>
      </c>
      <c r="P3" s="8" t="n">
        <f aca="false">ROUND(J3+M3,2)</f>
        <v>4.45</v>
      </c>
      <c r="Q3" s="8" t="n">
        <f aca="false">ROUND(K3+N3,2)</f>
        <v>6.75</v>
      </c>
    </row>
    <row r="4" customFormat="false" ht="15" hidden="false" customHeight="false" outlineLevel="0" collapsed="false">
      <c r="A4" s="0" t="s">
        <v>237</v>
      </c>
      <c r="B4" s="0" t="s">
        <v>146</v>
      </c>
      <c r="C4" s="0" t="s">
        <v>146</v>
      </c>
      <c r="D4" s="0" t="s">
        <v>234</v>
      </c>
      <c r="E4" s="3" t="s">
        <v>209</v>
      </c>
      <c r="G4" s="8" t="s">
        <v>235</v>
      </c>
      <c r="H4" s="0" t="n">
        <v>35</v>
      </c>
      <c r="I4" s="0" t="n">
        <v>28.8</v>
      </c>
      <c r="J4" s="0" t="n">
        <v>5</v>
      </c>
      <c r="K4" s="0" t="n">
        <v>3.7</v>
      </c>
      <c r="L4" s="0" t="n">
        <v>0.55</v>
      </c>
      <c r="M4" s="0" t="n">
        <v>0.175</v>
      </c>
      <c r="N4" s="0" t="n">
        <v>0.11</v>
      </c>
      <c r="O4" s="8" t="n">
        <f aca="false">ROUND(I4+L4,2)</f>
        <v>29.35</v>
      </c>
      <c r="P4" s="8" t="n">
        <f aca="false">ROUND(J4+M4,2)</f>
        <v>5.18</v>
      </c>
      <c r="Q4" s="8" t="n">
        <f aca="false">ROUND(K4+N4,2)</f>
        <v>3.81</v>
      </c>
    </row>
    <row r="5" customFormat="false" ht="15" hidden="false" customHeight="false" outlineLevel="0" collapsed="false">
      <c r="A5" s="0" t="s">
        <v>238</v>
      </c>
      <c r="B5" s="0" t="s">
        <v>83</v>
      </c>
      <c r="C5" s="0" t="s">
        <v>165</v>
      </c>
      <c r="D5" s="0" t="s">
        <v>239</v>
      </c>
      <c r="E5" s="3" t="s">
        <v>210</v>
      </c>
      <c r="F5" s="8" t="s">
        <v>209</v>
      </c>
      <c r="G5" s="8" t="s">
        <v>235</v>
      </c>
      <c r="H5" s="0" t="n">
        <v>34.4</v>
      </c>
      <c r="I5" s="0" t="n">
        <v>28.7</v>
      </c>
      <c r="J5" s="0" t="n">
        <v>6.9</v>
      </c>
      <c r="K5" s="0" t="n">
        <v>5.1</v>
      </c>
      <c r="L5" s="0" t="n">
        <v>0</v>
      </c>
      <c r="M5" s="0" t="n">
        <v>0</v>
      </c>
      <c r="N5" s="0" t="n">
        <v>0</v>
      </c>
      <c r="O5" s="8" t="n">
        <f aca="false">ROUND(I5+L5,2)</f>
        <v>28.7</v>
      </c>
      <c r="P5" s="8" t="n">
        <f aca="false">ROUND(J5+M5,2)</f>
        <v>6.9</v>
      </c>
      <c r="Q5" s="8" t="n">
        <f aca="false">ROUND(K5+N5,2)</f>
        <v>5.1</v>
      </c>
    </row>
    <row r="6" customFormat="false" ht="15" hidden="false" customHeight="false" outlineLevel="0" collapsed="false">
      <c r="A6" s="0" t="s">
        <v>240</v>
      </c>
      <c r="B6" s="0" t="s">
        <v>165</v>
      </c>
      <c r="C6" s="0" t="s">
        <v>165</v>
      </c>
      <c r="D6" s="0" t="s">
        <v>234</v>
      </c>
      <c r="E6" s="3" t="s">
        <v>208</v>
      </c>
      <c r="F6" s="8" t="s">
        <v>209</v>
      </c>
      <c r="G6" s="8" t="s">
        <v>235</v>
      </c>
      <c r="H6" s="0" t="n">
        <v>38</v>
      </c>
      <c r="I6" s="0" t="n">
        <v>28.3</v>
      </c>
      <c r="J6" s="0" t="n">
        <v>4.1</v>
      </c>
      <c r="K6" s="0" t="n">
        <v>6.6</v>
      </c>
      <c r="L6" s="0" t="n">
        <v>0.221</v>
      </c>
      <c r="M6" s="0" t="n">
        <v>0.069</v>
      </c>
      <c r="N6" s="0" t="n">
        <v>0.052</v>
      </c>
      <c r="O6" s="8" t="n">
        <f aca="false">ROUND(I6+L6,2)</f>
        <v>28.52</v>
      </c>
      <c r="P6" s="8" t="n">
        <f aca="false">ROUND(J6+M6,2)</f>
        <v>4.17</v>
      </c>
      <c r="Q6" s="8" t="n">
        <f aca="false">ROUND(K6+N6,2)</f>
        <v>6.65</v>
      </c>
    </row>
    <row r="7" customFormat="false" ht="15" hidden="false" customHeight="false" outlineLevel="0" collapsed="false">
      <c r="A7" s="0" t="s">
        <v>241</v>
      </c>
      <c r="B7" s="0" t="s">
        <v>126</v>
      </c>
      <c r="C7" s="0" t="s">
        <v>184</v>
      </c>
      <c r="D7" s="0" t="s">
        <v>239</v>
      </c>
      <c r="E7" s="3" t="s">
        <v>210</v>
      </c>
      <c r="G7" s="8" t="s">
        <v>235</v>
      </c>
      <c r="H7" s="0" t="n">
        <v>32.1</v>
      </c>
      <c r="I7" s="0" t="n">
        <v>27.9</v>
      </c>
      <c r="J7" s="0" t="n">
        <v>6.4</v>
      </c>
      <c r="K7" s="0" t="n">
        <v>3.6</v>
      </c>
      <c r="L7" s="0" t="n">
        <v>0</v>
      </c>
      <c r="M7" s="0" t="n">
        <v>0</v>
      </c>
      <c r="N7" s="0" t="n">
        <v>0</v>
      </c>
      <c r="O7" s="8" t="n">
        <f aca="false">ROUND(I7+L7,2)</f>
        <v>27.9</v>
      </c>
      <c r="P7" s="8" t="n">
        <f aca="false">ROUND(J7+M7,2)</f>
        <v>6.4</v>
      </c>
      <c r="Q7" s="8" t="n">
        <f aca="false">ROUND(K7+N7,2)</f>
        <v>3.6</v>
      </c>
    </row>
    <row r="8" customFormat="false" ht="15" hidden="false" customHeight="false" outlineLevel="0" collapsed="false">
      <c r="A8" s="0" t="s">
        <v>242</v>
      </c>
      <c r="B8" s="0" t="s">
        <v>98</v>
      </c>
      <c r="C8" s="0" t="s">
        <v>98</v>
      </c>
      <c r="D8" s="0" t="s">
        <v>243</v>
      </c>
      <c r="E8" s="3" t="s">
        <v>209</v>
      </c>
      <c r="G8" s="8" t="s">
        <v>235</v>
      </c>
      <c r="H8" s="0" t="n">
        <v>33.5</v>
      </c>
      <c r="I8" s="0" t="n">
        <v>27.9</v>
      </c>
      <c r="J8" s="0" t="n">
        <v>4.5</v>
      </c>
      <c r="K8" s="0" t="n">
        <v>5.7</v>
      </c>
      <c r="L8" s="0" t="n">
        <v>1.674</v>
      </c>
      <c r="M8" s="0" t="n">
        <v>0.245</v>
      </c>
      <c r="N8" s="0" t="n">
        <v>0.342</v>
      </c>
      <c r="O8" s="8" t="n">
        <f aca="false">ROUND(I8+L8,2)</f>
        <v>29.57</v>
      </c>
      <c r="P8" s="8" t="n">
        <f aca="false">ROUND(J8+M8,2)</f>
        <v>4.75</v>
      </c>
      <c r="Q8" s="8" t="n">
        <f aca="false">ROUND(K8+N8,2)</f>
        <v>6.04</v>
      </c>
    </row>
    <row r="9" customFormat="false" ht="15" hidden="false" customHeight="false" outlineLevel="0" collapsed="false">
      <c r="A9" s="0" t="s">
        <v>244</v>
      </c>
      <c r="B9" s="0" t="s">
        <v>106</v>
      </c>
      <c r="C9" s="0" t="s">
        <v>106</v>
      </c>
      <c r="D9" s="0" t="s">
        <v>234</v>
      </c>
      <c r="E9" s="3" t="s">
        <v>212</v>
      </c>
      <c r="G9" s="8" t="s">
        <v>235</v>
      </c>
      <c r="H9" s="0" t="n">
        <v>34.8</v>
      </c>
      <c r="I9" s="0" t="n">
        <v>27.7</v>
      </c>
      <c r="J9" s="0" t="n">
        <v>12.9</v>
      </c>
      <c r="K9" s="0" t="n">
        <v>10.7</v>
      </c>
      <c r="L9" s="0" t="n">
        <v>0.154</v>
      </c>
      <c r="M9" s="0" t="n">
        <v>0.008</v>
      </c>
      <c r="N9" s="0" t="n">
        <v>-0.117</v>
      </c>
      <c r="O9" s="8" t="n">
        <f aca="false">ROUND(I9+L9,2)</f>
        <v>27.85</v>
      </c>
      <c r="P9" s="8" t="n">
        <f aca="false">ROUND(J9+M9,2)</f>
        <v>12.91</v>
      </c>
      <c r="Q9" s="8" t="n">
        <f aca="false">ROUND(K9+N9,2)</f>
        <v>10.58</v>
      </c>
    </row>
    <row r="10" customFormat="false" ht="15" hidden="false" customHeight="false" outlineLevel="0" collapsed="false">
      <c r="A10" s="0" t="s">
        <v>245</v>
      </c>
      <c r="B10" s="0" t="s">
        <v>142</v>
      </c>
      <c r="C10" s="0" t="s">
        <v>138</v>
      </c>
      <c r="D10" s="0" t="s">
        <v>239</v>
      </c>
      <c r="E10" s="3" t="s">
        <v>211</v>
      </c>
      <c r="G10" s="8" t="s">
        <v>235</v>
      </c>
      <c r="H10" s="0" t="n">
        <v>28.9</v>
      </c>
      <c r="I10" s="0" t="n">
        <v>27.6</v>
      </c>
      <c r="J10" s="0" t="n">
        <v>9.8</v>
      </c>
      <c r="K10" s="0" t="n">
        <v>5.4</v>
      </c>
      <c r="L10" s="0" t="n">
        <v>0</v>
      </c>
      <c r="M10" s="0" t="n">
        <v>0</v>
      </c>
      <c r="N10" s="0" t="n">
        <v>0</v>
      </c>
      <c r="O10" s="8" t="n">
        <f aca="false">ROUND(I10+L10,2)</f>
        <v>27.6</v>
      </c>
      <c r="P10" s="8" t="n">
        <f aca="false">ROUND(J10+M10,2)</f>
        <v>9.8</v>
      </c>
      <c r="Q10" s="8" t="n">
        <f aca="false">ROUND(K10+N10,2)</f>
        <v>5.4</v>
      </c>
    </row>
    <row r="11" customFormat="false" ht="15" hidden="false" customHeight="false" outlineLevel="0" collapsed="false">
      <c r="A11" s="0" t="s">
        <v>246</v>
      </c>
      <c r="B11" s="0" t="s">
        <v>165</v>
      </c>
      <c r="C11" s="0" t="s">
        <v>165</v>
      </c>
      <c r="D11" s="0" t="s">
        <v>234</v>
      </c>
      <c r="E11" s="3" t="s">
        <v>212</v>
      </c>
      <c r="G11" s="8" t="s">
        <v>235</v>
      </c>
      <c r="H11" s="0" t="n">
        <v>31.6</v>
      </c>
      <c r="I11" s="0" t="n">
        <v>26.9</v>
      </c>
      <c r="J11" s="0" t="n">
        <v>7.7</v>
      </c>
      <c r="K11" s="0" t="n">
        <v>3.9</v>
      </c>
      <c r="L11" s="0" t="n">
        <v>0.883</v>
      </c>
      <c r="M11" s="0" t="n">
        <v>0.462</v>
      </c>
      <c r="N11" s="0" t="n">
        <v>0.129</v>
      </c>
      <c r="O11" s="8" t="n">
        <f aca="false">ROUND(I11+L11,2)</f>
        <v>27.78</v>
      </c>
      <c r="P11" s="8" t="n">
        <f aca="false">ROUND(J11+M11,2)</f>
        <v>8.16</v>
      </c>
      <c r="Q11" s="8" t="n">
        <f aca="false">ROUND(K11+N11,2)</f>
        <v>4.03</v>
      </c>
    </row>
    <row r="12" customFormat="false" ht="15" hidden="false" customHeight="false" outlineLevel="0" collapsed="false">
      <c r="A12" s="0" t="s">
        <v>247</v>
      </c>
      <c r="B12" s="0" t="s">
        <v>188</v>
      </c>
      <c r="C12" s="0" t="s">
        <v>188</v>
      </c>
      <c r="D12" s="0" t="s">
        <v>234</v>
      </c>
      <c r="E12" s="3" t="s">
        <v>211</v>
      </c>
      <c r="F12" s="8" t="s">
        <v>212</v>
      </c>
      <c r="G12" s="8" t="s">
        <v>235</v>
      </c>
      <c r="H12" s="0" t="n">
        <v>34.4</v>
      </c>
      <c r="I12" s="0" t="n">
        <v>26.7</v>
      </c>
      <c r="J12" s="0" t="n">
        <v>6.9</v>
      </c>
      <c r="K12" s="0" t="n">
        <v>2.1</v>
      </c>
      <c r="L12" s="0" t="n">
        <v>0.611</v>
      </c>
      <c r="M12" s="0" t="n">
        <v>0.206</v>
      </c>
      <c r="N12" s="0" t="n">
        <v>0.066</v>
      </c>
      <c r="O12" s="8" t="n">
        <f aca="false">ROUND(I12+L12,2)</f>
        <v>27.31</v>
      </c>
      <c r="P12" s="8" t="n">
        <f aca="false">ROUND(J12+M12,2)</f>
        <v>7.11</v>
      </c>
      <c r="Q12" s="8" t="n">
        <f aca="false">ROUND(K12+N12,2)</f>
        <v>2.17</v>
      </c>
    </row>
    <row r="13" customFormat="false" ht="15" hidden="false" customHeight="false" outlineLevel="0" collapsed="false">
      <c r="A13" s="0" t="s">
        <v>248</v>
      </c>
      <c r="B13" s="0" t="s">
        <v>114</v>
      </c>
      <c r="C13" s="0" t="s">
        <v>114</v>
      </c>
      <c r="D13" s="0" t="s">
        <v>243</v>
      </c>
      <c r="E13" s="3" t="s">
        <v>208</v>
      </c>
      <c r="G13" s="8" t="s">
        <v>235</v>
      </c>
      <c r="H13" s="0" t="n">
        <v>30.9</v>
      </c>
      <c r="I13" s="0" t="n">
        <v>26.6</v>
      </c>
      <c r="J13" s="0" t="n">
        <v>3.6</v>
      </c>
      <c r="K13" s="0" t="n">
        <v>4.7</v>
      </c>
      <c r="L13" s="0" t="n">
        <v>0.573</v>
      </c>
      <c r="M13" s="0" t="n">
        <v>0.118</v>
      </c>
      <c r="N13" s="0" t="n">
        <v>0.075</v>
      </c>
      <c r="O13" s="8" t="n">
        <f aca="false">ROUND(I13+L13,2)</f>
        <v>27.17</v>
      </c>
      <c r="P13" s="8" t="n">
        <f aca="false">ROUND(J13+M13,2)</f>
        <v>3.72</v>
      </c>
      <c r="Q13" s="8" t="n">
        <f aca="false">ROUND(K13+N13,2)</f>
        <v>4.78</v>
      </c>
    </row>
    <row r="14" customFormat="false" ht="15" hidden="false" customHeight="false" outlineLevel="0" collapsed="false">
      <c r="A14" s="0" t="s">
        <v>249</v>
      </c>
      <c r="B14" s="0" t="s">
        <v>169</v>
      </c>
      <c r="C14" s="0" t="s">
        <v>169</v>
      </c>
      <c r="D14" s="0" t="s">
        <v>234</v>
      </c>
      <c r="E14" s="3" t="s">
        <v>209</v>
      </c>
      <c r="G14" s="8" t="s">
        <v>235</v>
      </c>
      <c r="H14" s="0" t="n">
        <v>33.5</v>
      </c>
      <c r="I14" s="0" t="n">
        <v>26.1</v>
      </c>
      <c r="J14" s="0" t="n">
        <v>3.9</v>
      </c>
      <c r="K14" s="0" t="n">
        <v>6</v>
      </c>
      <c r="L14" s="0" t="n">
        <v>0.289</v>
      </c>
      <c r="M14" s="0" t="n">
        <v>0.028</v>
      </c>
      <c r="N14" s="0" t="n">
        <v>0.098</v>
      </c>
      <c r="O14" s="8" t="n">
        <f aca="false">ROUND(I14+L14,2)</f>
        <v>26.39</v>
      </c>
      <c r="P14" s="8" t="n">
        <f aca="false">ROUND(J14+M14,2)</f>
        <v>3.93</v>
      </c>
      <c r="Q14" s="8" t="n">
        <f aca="false">ROUND(K14+N14,2)</f>
        <v>6.1</v>
      </c>
    </row>
    <row r="15" customFormat="false" ht="15" hidden="false" customHeight="false" outlineLevel="0" collapsed="false">
      <c r="A15" s="0" t="s">
        <v>250</v>
      </c>
      <c r="B15" s="0" t="s">
        <v>154</v>
      </c>
      <c r="C15" s="0" t="s">
        <v>154</v>
      </c>
      <c r="D15" s="0" t="s">
        <v>234</v>
      </c>
      <c r="E15" s="3" t="s">
        <v>208</v>
      </c>
      <c r="G15" s="8" t="s">
        <v>235</v>
      </c>
      <c r="H15" s="0" t="n">
        <v>35</v>
      </c>
      <c r="I15" s="0" t="n">
        <v>26</v>
      </c>
      <c r="J15" s="0" t="n">
        <v>3.3</v>
      </c>
      <c r="K15" s="0" t="n">
        <v>6.8</v>
      </c>
      <c r="L15" s="0" t="n">
        <v>0.051</v>
      </c>
      <c r="M15" s="0" t="n">
        <v>0.041</v>
      </c>
      <c r="N15" s="0" t="n">
        <v>0.003</v>
      </c>
      <c r="O15" s="8" t="n">
        <f aca="false">ROUND(I15+L15,2)</f>
        <v>26.05</v>
      </c>
      <c r="P15" s="8" t="n">
        <f aca="false">ROUND(J15+M15,2)</f>
        <v>3.34</v>
      </c>
      <c r="Q15" s="8" t="n">
        <f aca="false">ROUND(K15+N15,2)</f>
        <v>6.8</v>
      </c>
    </row>
    <row r="16" customFormat="false" ht="15" hidden="false" customHeight="false" outlineLevel="0" collapsed="false">
      <c r="A16" s="0" t="s">
        <v>251</v>
      </c>
      <c r="B16" s="0" t="s">
        <v>118</v>
      </c>
      <c r="C16" s="0" t="s">
        <v>118</v>
      </c>
      <c r="D16" s="0" t="s">
        <v>234</v>
      </c>
      <c r="E16" s="3" t="s">
        <v>211</v>
      </c>
      <c r="F16" s="8" t="s">
        <v>210</v>
      </c>
      <c r="G16" s="8" t="s">
        <v>235</v>
      </c>
      <c r="H16" s="0" t="n">
        <v>36.4</v>
      </c>
      <c r="I16" s="0" t="n">
        <v>26</v>
      </c>
      <c r="J16" s="0" t="n">
        <v>5.5</v>
      </c>
      <c r="K16" s="0" t="n">
        <v>4.8</v>
      </c>
      <c r="L16" s="0" t="n">
        <v>-0.045</v>
      </c>
      <c r="M16" s="0" t="n">
        <v>0.017</v>
      </c>
      <c r="N16" s="0" t="n">
        <v>-0.028</v>
      </c>
      <c r="O16" s="8" t="n">
        <f aca="false">ROUND(I16+L16,2)</f>
        <v>25.96</v>
      </c>
      <c r="P16" s="8" t="n">
        <f aca="false">ROUND(J16+M16,2)</f>
        <v>5.52</v>
      </c>
      <c r="Q16" s="8" t="n">
        <f aca="false">ROUND(K16+N16,2)</f>
        <v>4.77</v>
      </c>
    </row>
    <row r="17" customFormat="false" ht="15" hidden="false" customHeight="false" outlineLevel="0" collapsed="false">
      <c r="A17" s="0" t="s">
        <v>252</v>
      </c>
      <c r="B17" s="0" t="s">
        <v>106</v>
      </c>
      <c r="C17" s="0" t="s">
        <v>106</v>
      </c>
      <c r="D17" s="0" t="s">
        <v>234</v>
      </c>
      <c r="E17" s="3" t="s">
        <v>208</v>
      </c>
      <c r="G17" s="8" t="s">
        <v>235</v>
      </c>
      <c r="H17" s="0" t="n">
        <v>35.4</v>
      </c>
      <c r="I17" s="0" t="n">
        <v>25.4</v>
      </c>
      <c r="J17" s="0" t="n">
        <v>4.4</v>
      </c>
      <c r="K17" s="0" t="n">
        <v>7.1</v>
      </c>
      <c r="L17" s="0" t="n">
        <v>0.125</v>
      </c>
      <c r="M17" s="0" t="n">
        <v>0.002</v>
      </c>
      <c r="N17" s="0" t="n">
        <v>-0.069</v>
      </c>
      <c r="O17" s="8" t="n">
        <f aca="false">ROUND(I17+L17,2)</f>
        <v>25.53</v>
      </c>
      <c r="P17" s="8" t="n">
        <f aca="false">ROUND(J17+M17,2)</f>
        <v>4.4</v>
      </c>
      <c r="Q17" s="8" t="n">
        <f aca="false">ROUND(K17+N17,2)</f>
        <v>7.03</v>
      </c>
    </row>
    <row r="18" customFormat="false" ht="15" hidden="false" customHeight="false" outlineLevel="0" collapsed="false">
      <c r="A18" s="0" t="s">
        <v>253</v>
      </c>
      <c r="B18" s="0" t="s">
        <v>180</v>
      </c>
      <c r="C18" s="0" t="s">
        <v>180</v>
      </c>
      <c r="D18" s="0" t="s">
        <v>243</v>
      </c>
      <c r="E18" s="3" t="s">
        <v>212</v>
      </c>
      <c r="G18" s="8" t="s">
        <v>235</v>
      </c>
      <c r="H18" s="0" t="n">
        <v>29.2</v>
      </c>
      <c r="I18" s="0" t="n">
        <v>25</v>
      </c>
      <c r="J18" s="0" t="n">
        <v>11.5</v>
      </c>
      <c r="K18" s="0" t="n">
        <v>3.1</v>
      </c>
      <c r="L18" s="0" t="n">
        <v>-0.187</v>
      </c>
      <c r="M18" s="0" t="n">
        <v>-0.025</v>
      </c>
      <c r="N18" s="0" t="n">
        <v>-0.013</v>
      </c>
      <c r="O18" s="8" t="n">
        <f aca="false">ROUND(I18+L18,2)</f>
        <v>24.81</v>
      </c>
      <c r="P18" s="8" t="n">
        <f aca="false">ROUND(J18+M18,2)</f>
        <v>11.48</v>
      </c>
      <c r="Q18" s="8" t="n">
        <f aca="false">ROUND(K18+N18,2)</f>
        <v>3.09</v>
      </c>
    </row>
    <row r="19" customFormat="false" ht="15" hidden="false" customHeight="false" outlineLevel="0" collapsed="false">
      <c r="A19" s="0" t="s">
        <v>254</v>
      </c>
      <c r="B19" s="0" t="s">
        <v>173</v>
      </c>
      <c r="C19" s="0" t="s">
        <v>173</v>
      </c>
      <c r="D19" s="0" t="s">
        <v>234</v>
      </c>
      <c r="E19" s="3" t="s">
        <v>210</v>
      </c>
      <c r="F19" s="8" t="s">
        <v>211</v>
      </c>
      <c r="G19" s="8" t="s">
        <v>235</v>
      </c>
      <c r="H19" s="0" t="n">
        <v>33.3</v>
      </c>
      <c r="I19" s="0" t="n">
        <v>24.2</v>
      </c>
      <c r="J19" s="0" t="n">
        <v>6.9</v>
      </c>
      <c r="K19" s="0" t="n">
        <v>6.7</v>
      </c>
      <c r="L19" s="0" t="n">
        <v>0.273</v>
      </c>
      <c r="M19" s="0" t="n">
        <v>0.054</v>
      </c>
      <c r="N19" s="0" t="n">
        <v>-0.051</v>
      </c>
      <c r="O19" s="8" t="n">
        <f aca="false">ROUND(I19+L19,2)</f>
        <v>24.47</v>
      </c>
      <c r="P19" s="8" t="n">
        <f aca="false">ROUND(J19+M19,2)</f>
        <v>6.95</v>
      </c>
      <c r="Q19" s="8" t="n">
        <f aca="false">ROUND(K19+N19,2)</f>
        <v>6.65</v>
      </c>
    </row>
    <row r="20" customFormat="false" ht="15" hidden="false" customHeight="false" outlineLevel="0" collapsed="false">
      <c r="A20" s="0" t="s">
        <v>255</v>
      </c>
      <c r="B20" s="0" t="s">
        <v>87</v>
      </c>
      <c r="C20" s="0" t="s">
        <v>87</v>
      </c>
      <c r="D20" s="0" t="s">
        <v>234</v>
      </c>
      <c r="E20" s="3" t="s">
        <v>210</v>
      </c>
      <c r="F20" s="8" t="s">
        <v>211</v>
      </c>
      <c r="G20" s="8" t="s">
        <v>235</v>
      </c>
      <c r="H20" s="0" t="n">
        <v>32.5</v>
      </c>
      <c r="I20" s="0" t="n">
        <v>24.2</v>
      </c>
      <c r="J20" s="0" t="n">
        <v>7.1</v>
      </c>
      <c r="K20" s="0" t="n">
        <v>3</v>
      </c>
      <c r="L20" s="0" t="n">
        <v>0.512</v>
      </c>
      <c r="M20" s="0" t="n">
        <v>0.108</v>
      </c>
      <c r="N20" s="0" t="n">
        <v>0.062</v>
      </c>
      <c r="O20" s="8" t="n">
        <f aca="false">ROUND(I20+L20,2)</f>
        <v>24.71</v>
      </c>
      <c r="P20" s="8" t="n">
        <f aca="false">ROUND(J20+M20,2)</f>
        <v>7.21</v>
      </c>
      <c r="Q20" s="8" t="n">
        <f aca="false">ROUND(K20+N20,2)</f>
        <v>3.06</v>
      </c>
    </row>
    <row r="21" customFormat="false" ht="15" hidden="false" customHeight="false" outlineLevel="0" collapsed="false">
      <c r="A21" s="0" t="s">
        <v>256</v>
      </c>
      <c r="B21" s="0" t="s">
        <v>122</v>
      </c>
      <c r="C21" s="0" t="s">
        <v>122</v>
      </c>
      <c r="D21" s="0" t="s">
        <v>234</v>
      </c>
      <c r="E21" s="3" t="s">
        <v>211</v>
      </c>
      <c r="G21" s="8" t="s">
        <v>235</v>
      </c>
      <c r="H21" s="0" t="n">
        <v>33.2</v>
      </c>
      <c r="I21" s="0" t="n">
        <v>24</v>
      </c>
      <c r="J21" s="0" t="n">
        <v>6.6</v>
      </c>
      <c r="K21" s="0" t="n">
        <v>3.8</v>
      </c>
      <c r="L21" s="0" t="n">
        <v>0.851</v>
      </c>
      <c r="M21" s="0" t="n">
        <v>0.279</v>
      </c>
      <c r="N21" s="0" t="n">
        <v>0.104</v>
      </c>
      <c r="O21" s="8" t="n">
        <f aca="false">ROUND(I21+L21,2)</f>
        <v>24.85</v>
      </c>
      <c r="P21" s="8" t="n">
        <f aca="false">ROUND(J21+M21,2)</f>
        <v>6.88</v>
      </c>
      <c r="Q21" s="8" t="n">
        <f aca="false">ROUND(K21+N21,2)</f>
        <v>3.9</v>
      </c>
    </row>
    <row r="22" customFormat="false" ht="15" hidden="false" customHeight="false" outlineLevel="0" collapsed="false">
      <c r="A22" s="0" t="s">
        <v>257</v>
      </c>
      <c r="B22" s="0" t="s">
        <v>110</v>
      </c>
      <c r="C22" s="0" t="s">
        <v>110</v>
      </c>
      <c r="D22" s="0" t="s">
        <v>234</v>
      </c>
      <c r="E22" s="3" t="s">
        <v>208</v>
      </c>
      <c r="G22" s="8" t="s">
        <v>235</v>
      </c>
      <c r="H22" s="0" t="n">
        <v>33.9</v>
      </c>
      <c r="I22" s="0" t="n">
        <v>23.9</v>
      </c>
      <c r="J22" s="0" t="n">
        <v>5.5</v>
      </c>
      <c r="K22" s="0" t="n">
        <v>9.9</v>
      </c>
      <c r="L22" s="0" t="n">
        <v>0.604</v>
      </c>
      <c r="M22" s="0" t="n">
        <v>0.12</v>
      </c>
      <c r="N22" s="0" t="n">
        <v>0.333</v>
      </c>
      <c r="O22" s="8" t="n">
        <f aca="false">ROUND(I22+L22,2)</f>
        <v>24.5</v>
      </c>
      <c r="P22" s="8" t="n">
        <f aca="false">ROUND(J22+M22,2)</f>
        <v>5.62</v>
      </c>
      <c r="Q22" s="8" t="n">
        <f aca="false">ROUND(K22+N22,2)</f>
        <v>10.23</v>
      </c>
    </row>
    <row r="23" customFormat="false" ht="15" hidden="false" customHeight="false" outlineLevel="0" collapsed="false">
      <c r="A23" s="0" t="s">
        <v>258</v>
      </c>
      <c r="B23" s="0" t="s">
        <v>98</v>
      </c>
      <c r="C23" s="0" t="s">
        <v>98</v>
      </c>
      <c r="D23" s="0" t="s">
        <v>243</v>
      </c>
      <c r="E23" s="3" t="s">
        <v>208</v>
      </c>
      <c r="F23" s="8" t="s">
        <v>209</v>
      </c>
      <c r="G23" s="8" t="s">
        <v>235</v>
      </c>
      <c r="H23" s="0" t="n">
        <v>34.8</v>
      </c>
      <c r="I23" s="0" t="n">
        <v>23.6</v>
      </c>
      <c r="J23" s="0" t="n">
        <v>4.8</v>
      </c>
      <c r="K23" s="0" t="n">
        <v>8</v>
      </c>
      <c r="L23" s="0" t="n">
        <v>1.222</v>
      </c>
      <c r="M23" s="0" t="n">
        <v>0.209</v>
      </c>
      <c r="N23" s="0" t="n">
        <v>0.48</v>
      </c>
      <c r="O23" s="8" t="n">
        <f aca="false">ROUND(I23+L23,2)</f>
        <v>24.82</v>
      </c>
      <c r="P23" s="8" t="n">
        <f aca="false">ROUND(J23+M23,2)</f>
        <v>5.01</v>
      </c>
      <c r="Q23" s="8" t="n">
        <f aca="false">ROUND(K23+N23,2)</f>
        <v>8.48</v>
      </c>
    </row>
    <row r="24" customFormat="false" ht="15" hidden="false" customHeight="false" outlineLevel="0" collapsed="false">
      <c r="A24" s="0" t="s">
        <v>259</v>
      </c>
      <c r="B24" s="0" t="s">
        <v>188</v>
      </c>
      <c r="C24" s="0" t="s">
        <v>188</v>
      </c>
      <c r="D24" s="0" t="s">
        <v>243</v>
      </c>
      <c r="E24" s="3" t="s">
        <v>208</v>
      </c>
      <c r="G24" s="8" t="s">
        <v>235</v>
      </c>
      <c r="H24" s="0" t="n">
        <v>33.1</v>
      </c>
      <c r="I24" s="0" t="n">
        <v>23.6</v>
      </c>
      <c r="J24" s="0" t="n">
        <v>3.7</v>
      </c>
      <c r="K24" s="0" t="n">
        <v>6.1</v>
      </c>
      <c r="L24" s="0" t="n">
        <v>0.666</v>
      </c>
      <c r="M24" s="0" t="n">
        <v>0.136</v>
      </c>
      <c r="N24" s="0" t="n">
        <v>0.235</v>
      </c>
      <c r="O24" s="8" t="n">
        <f aca="false">ROUND(I24+L24,2)</f>
        <v>24.27</v>
      </c>
      <c r="P24" s="8" t="n">
        <f aca="false">ROUND(J24+M24,2)</f>
        <v>3.84</v>
      </c>
      <c r="Q24" s="8" t="n">
        <f aca="false">ROUND(K24+N24,2)</f>
        <v>6.34</v>
      </c>
    </row>
    <row r="25" customFormat="false" ht="15" hidden="false" customHeight="false" outlineLevel="0" collapsed="false">
      <c r="A25" s="0" t="s">
        <v>260</v>
      </c>
      <c r="B25" s="0" t="s">
        <v>130</v>
      </c>
      <c r="C25" s="0" t="s">
        <v>130</v>
      </c>
      <c r="D25" s="0" t="s">
        <v>243</v>
      </c>
      <c r="E25" s="3" t="s">
        <v>209</v>
      </c>
      <c r="F25" s="8" t="s">
        <v>208</v>
      </c>
      <c r="G25" s="8" t="s">
        <v>235</v>
      </c>
      <c r="H25" s="0" t="n">
        <v>34.5</v>
      </c>
      <c r="I25" s="0" t="n">
        <v>23.3</v>
      </c>
      <c r="J25" s="0" t="n">
        <v>4.7</v>
      </c>
      <c r="K25" s="0" t="n">
        <v>5.5</v>
      </c>
      <c r="L25" s="0" t="n">
        <v>1.186</v>
      </c>
      <c r="M25" s="0" t="n">
        <v>0.18</v>
      </c>
      <c r="N25" s="0" t="n">
        <v>0.33</v>
      </c>
      <c r="O25" s="8" t="n">
        <f aca="false">ROUND(I25+L25,2)</f>
        <v>24.49</v>
      </c>
      <c r="P25" s="8" t="n">
        <f aca="false">ROUND(J25+M25,2)</f>
        <v>4.88</v>
      </c>
      <c r="Q25" s="8" t="n">
        <f aca="false">ROUND(K25+N25,2)</f>
        <v>5.83</v>
      </c>
    </row>
    <row r="26" customFormat="false" ht="15" hidden="false" customHeight="false" outlineLevel="0" collapsed="false">
      <c r="A26" s="0" t="s">
        <v>261</v>
      </c>
      <c r="B26" s="0" t="s">
        <v>79</v>
      </c>
      <c r="C26" s="0" t="s">
        <v>79</v>
      </c>
      <c r="D26" s="0" t="s">
        <v>234</v>
      </c>
      <c r="E26" s="3" t="s">
        <v>211</v>
      </c>
      <c r="F26" s="8" t="s">
        <v>210</v>
      </c>
      <c r="G26" s="8" t="s">
        <v>235</v>
      </c>
      <c r="H26" s="0" t="n">
        <v>35.2</v>
      </c>
      <c r="I26" s="0" t="n">
        <v>22.5</v>
      </c>
      <c r="J26" s="0" t="n">
        <v>10.3</v>
      </c>
      <c r="K26" s="0" t="n">
        <v>7.9</v>
      </c>
      <c r="L26" s="0" t="n">
        <v>0.972</v>
      </c>
      <c r="M26" s="0" t="n">
        <v>0.229</v>
      </c>
      <c r="N26" s="0" t="n">
        <v>0.321</v>
      </c>
      <c r="O26" s="8" t="n">
        <f aca="false">ROUND(I26+L26,2)</f>
        <v>23.47</v>
      </c>
      <c r="P26" s="8" t="n">
        <f aca="false">ROUND(J26+M26,2)</f>
        <v>10.53</v>
      </c>
      <c r="Q26" s="8" t="n">
        <f aca="false">ROUND(K26+N26,2)</f>
        <v>8.22</v>
      </c>
    </row>
    <row r="27" customFormat="false" ht="15" hidden="false" customHeight="false" outlineLevel="0" collapsed="false">
      <c r="A27" s="0" t="s">
        <v>262</v>
      </c>
      <c r="B27" s="0" t="s">
        <v>161</v>
      </c>
      <c r="C27" s="0" t="s">
        <v>161</v>
      </c>
      <c r="D27" s="0" t="s">
        <v>234</v>
      </c>
      <c r="E27" s="3" t="s">
        <v>211</v>
      </c>
      <c r="G27" s="8" t="s">
        <v>235</v>
      </c>
      <c r="H27" s="0" t="n">
        <v>34.8</v>
      </c>
      <c r="I27" s="0" t="n">
        <v>22.2</v>
      </c>
      <c r="J27" s="0" t="n">
        <v>8.4</v>
      </c>
      <c r="K27" s="0" t="n">
        <v>5.2</v>
      </c>
      <c r="L27" s="0" t="n">
        <v>0.015</v>
      </c>
      <c r="M27" s="0" t="n">
        <v>-0.012</v>
      </c>
      <c r="N27" s="0" t="n">
        <v>0.023</v>
      </c>
      <c r="O27" s="8" t="n">
        <f aca="false">ROUND(I27+L27,2)</f>
        <v>22.22</v>
      </c>
      <c r="P27" s="8" t="n">
        <f aca="false">ROUND(J27+M27,2)</f>
        <v>8.39</v>
      </c>
      <c r="Q27" s="8" t="n">
        <f aca="false">ROUND(K27+N27,2)</f>
        <v>5.22</v>
      </c>
    </row>
    <row r="28" customFormat="false" ht="15" hidden="false" customHeight="false" outlineLevel="0" collapsed="false">
      <c r="A28" s="0" t="s">
        <v>263</v>
      </c>
      <c r="B28" s="0" t="s">
        <v>83</v>
      </c>
      <c r="C28" s="0" t="s">
        <v>83</v>
      </c>
      <c r="D28" s="0" t="s">
        <v>234</v>
      </c>
      <c r="E28" s="3" t="s">
        <v>210</v>
      </c>
      <c r="F28" s="8" t="s">
        <v>211</v>
      </c>
      <c r="G28" s="8" t="s">
        <v>235</v>
      </c>
      <c r="H28" s="0" t="n">
        <v>32.6</v>
      </c>
      <c r="I28" s="0" t="n">
        <v>21.8</v>
      </c>
      <c r="J28" s="0" t="n">
        <v>10</v>
      </c>
      <c r="K28" s="0" t="n">
        <v>5.3</v>
      </c>
      <c r="L28" s="0" t="n">
        <v>1.308</v>
      </c>
      <c r="M28" s="0" t="n">
        <v>0.282</v>
      </c>
      <c r="N28" s="0" t="n">
        <v>0.216</v>
      </c>
      <c r="O28" s="8" t="n">
        <f aca="false">ROUND(I28+L28,2)</f>
        <v>23.11</v>
      </c>
      <c r="P28" s="8" t="n">
        <f aca="false">ROUND(J28+M28,2)</f>
        <v>10.28</v>
      </c>
      <c r="Q28" s="8" t="n">
        <f aca="false">ROUND(K28+N28,2)</f>
        <v>5.52</v>
      </c>
    </row>
    <row r="29" customFormat="false" ht="15" hidden="false" customHeight="false" outlineLevel="0" collapsed="false">
      <c r="A29" s="0" t="s">
        <v>264</v>
      </c>
      <c r="B29" s="0" t="s">
        <v>138</v>
      </c>
      <c r="C29" s="0" t="s">
        <v>94</v>
      </c>
      <c r="D29" s="0" t="s">
        <v>239</v>
      </c>
      <c r="E29" s="3" t="s">
        <v>209</v>
      </c>
      <c r="G29" s="8" t="s">
        <v>235</v>
      </c>
      <c r="H29" s="0" t="n">
        <v>29.6</v>
      </c>
      <c r="I29" s="0" t="n">
        <v>21.7</v>
      </c>
      <c r="J29" s="0" t="n">
        <v>3.5</v>
      </c>
      <c r="K29" s="0" t="n">
        <v>2.5</v>
      </c>
      <c r="L29" s="0" t="n">
        <v>0</v>
      </c>
      <c r="M29" s="0" t="n">
        <v>0</v>
      </c>
      <c r="N29" s="0" t="n">
        <v>0</v>
      </c>
      <c r="O29" s="8" t="n">
        <f aca="false">ROUND(I29+L29,2)</f>
        <v>21.7</v>
      </c>
      <c r="P29" s="8" t="n">
        <f aca="false">ROUND(J29+M29,2)</f>
        <v>3.5</v>
      </c>
      <c r="Q29" s="8" t="n">
        <f aca="false">ROUND(K29+N29,2)</f>
        <v>2.5</v>
      </c>
    </row>
    <row r="30" customFormat="false" ht="15" hidden="false" customHeight="false" outlineLevel="0" collapsed="false">
      <c r="A30" s="0" t="s">
        <v>265</v>
      </c>
      <c r="B30" s="0" t="s">
        <v>184</v>
      </c>
      <c r="C30" s="0" t="s">
        <v>126</v>
      </c>
      <c r="D30" s="0" t="s">
        <v>239</v>
      </c>
      <c r="E30" s="3" t="s">
        <v>210</v>
      </c>
      <c r="G30" s="8" t="s">
        <v>235</v>
      </c>
      <c r="H30" s="0" t="n">
        <v>33.8</v>
      </c>
      <c r="I30" s="0" t="n">
        <v>21.5</v>
      </c>
      <c r="J30" s="0" t="n">
        <v>5.6</v>
      </c>
      <c r="K30" s="0" t="n">
        <v>3.7</v>
      </c>
      <c r="L30" s="0" t="n">
        <v>0</v>
      </c>
      <c r="M30" s="0" t="n">
        <v>0</v>
      </c>
      <c r="N30" s="0" t="n">
        <v>0</v>
      </c>
      <c r="O30" s="8" t="n">
        <f aca="false">ROUND(I30+L30,2)</f>
        <v>21.5</v>
      </c>
      <c r="P30" s="8" t="n">
        <f aca="false">ROUND(J30+M30,2)</f>
        <v>5.6</v>
      </c>
      <c r="Q30" s="8" t="n">
        <f aca="false">ROUND(K30+N30,2)</f>
        <v>3.7</v>
      </c>
    </row>
    <row r="31" customFormat="false" ht="15" hidden="false" customHeight="false" outlineLevel="0" collapsed="false">
      <c r="A31" s="0" t="s">
        <v>266</v>
      </c>
      <c r="B31" s="0" t="s">
        <v>150</v>
      </c>
      <c r="C31" s="0" t="s">
        <v>150</v>
      </c>
      <c r="D31" s="0" t="s">
        <v>234</v>
      </c>
      <c r="E31" s="3" t="s">
        <v>210</v>
      </c>
      <c r="F31" s="8" t="s">
        <v>209</v>
      </c>
      <c r="G31" s="8" t="s">
        <v>235</v>
      </c>
      <c r="H31" s="0" t="n">
        <v>35.5</v>
      </c>
      <c r="I31" s="0" t="n">
        <v>21.5</v>
      </c>
      <c r="J31" s="0" t="n">
        <v>5.7</v>
      </c>
      <c r="K31" s="0" t="n">
        <v>3.8</v>
      </c>
      <c r="L31" s="0" t="n">
        <v>0.077</v>
      </c>
      <c r="M31" s="0" t="n">
        <v>0.054</v>
      </c>
      <c r="N31" s="0" t="n">
        <v>0.038</v>
      </c>
      <c r="O31" s="8" t="n">
        <f aca="false">ROUND(I31+L31,2)</f>
        <v>21.58</v>
      </c>
      <c r="P31" s="8" t="n">
        <f aca="false">ROUND(J31+M31,2)</f>
        <v>5.75</v>
      </c>
      <c r="Q31" s="8" t="n">
        <f aca="false">ROUND(K31+N31,2)</f>
        <v>3.84</v>
      </c>
    </row>
    <row r="32" customFormat="false" ht="15" hidden="false" customHeight="false" outlineLevel="0" collapsed="false">
      <c r="A32" s="0" t="s">
        <v>267</v>
      </c>
      <c r="B32" s="0" t="s">
        <v>146</v>
      </c>
      <c r="C32" s="0" t="s">
        <v>87</v>
      </c>
      <c r="D32" s="0" t="s">
        <v>239</v>
      </c>
      <c r="E32" s="3" t="s">
        <v>211</v>
      </c>
      <c r="G32" s="8" t="s">
        <v>235</v>
      </c>
      <c r="H32" s="0" t="n">
        <v>33</v>
      </c>
      <c r="I32" s="0" t="n">
        <v>21.1</v>
      </c>
      <c r="J32" s="0" t="n">
        <v>6.7</v>
      </c>
      <c r="K32" s="0" t="n">
        <v>5</v>
      </c>
      <c r="L32" s="0" t="n">
        <v>0</v>
      </c>
      <c r="M32" s="0" t="n">
        <v>0</v>
      </c>
      <c r="N32" s="0" t="n">
        <v>0</v>
      </c>
      <c r="O32" s="8" t="n">
        <f aca="false">ROUND(I32+L32,2)</f>
        <v>21.1</v>
      </c>
      <c r="P32" s="8" t="n">
        <f aca="false">ROUND(J32+M32,2)</f>
        <v>6.7</v>
      </c>
      <c r="Q32" s="8" t="n">
        <f aca="false">ROUND(K32+N32,2)</f>
        <v>5</v>
      </c>
    </row>
    <row r="33" customFormat="false" ht="15" hidden="false" customHeight="false" outlineLevel="0" collapsed="false">
      <c r="A33" s="0" t="s">
        <v>268</v>
      </c>
      <c r="B33" s="0" t="s">
        <v>102</v>
      </c>
      <c r="C33" s="0" t="s">
        <v>102</v>
      </c>
      <c r="D33" s="0" t="s">
        <v>234</v>
      </c>
      <c r="E33" s="3" t="s">
        <v>210</v>
      </c>
      <c r="F33" s="8" t="s">
        <v>211</v>
      </c>
      <c r="G33" s="8" t="s">
        <v>235</v>
      </c>
      <c r="H33" s="0" t="n">
        <v>33.5</v>
      </c>
      <c r="I33" s="0" t="n">
        <v>21</v>
      </c>
      <c r="J33" s="0" t="n">
        <v>6.7</v>
      </c>
      <c r="K33" s="0" t="n">
        <v>4.5</v>
      </c>
      <c r="L33" s="0" t="n">
        <v>1.26</v>
      </c>
      <c r="M33" s="0" t="n">
        <v>0.195</v>
      </c>
      <c r="N33" s="0" t="n">
        <v>0.27</v>
      </c>
      <c r="O33" s="8" t="n">
        <f aca="false">ROUND(I33+L33,2)</f>
        <v>22.26</v>
      </c>
      <c r="P33" s="8" t="n">
        <f aca="false">ROUND(J33+M33,2)</f>
        <v>6.9</v>
      </c>
      <c r="Q33" s="8" t="n">
        <f aca="false">ROUND(K33+N33,2)</f>
        <v>4.77</v>
      </c>
    </row>
    <row r="34" customFormat="false" ht="15" hidden="false" customHeight="false" outlineLevel="0" collapsed="false">
      <c r="A34" s="0" t="s">
        <v>269</v>
      </c>
      <c r="B34" s="0" t="s">
        <v>150</v>
      </c>
      <c r="C34" s="0" t="s">
        <v>150</v>
      </c>
      <c r="D34" s="0" t="s">
        <v>234</v>
      </c>
      <c r="E34" s="3" t="s">
        <v>211</v>
      </c>
      <c r="G34" s="8" t="s">
        <v>235</v>
      </c>
      <c r="H34" s="0" t="n">
        <v>29.7</v>
      </c>
      <c r="I34" s="0" t="n">
        <v>21</v>
      </c>
      <c r="J34" s="0" t="n">
        <v>5.7</v>
      </c>
      <c r="K34" s="0" t="n">
        <v>3.2</v>
      </c>
      <c r="L34" s="0" t="n">
        <v>0.171</v>
      </c>
      <c r="M34" s="0" t="n">
        <v>0.124</v>
      </c>
      <c r="N34" s="0" t="n">
        <v>0.074</v>
      </c>
      <c r="O34" s="8" t="n">
        <f aca="false">ROUND(I34+L34,2)</f>
        <v>21.17</v>
      </c>
      <c r="P34" s="8" t="n">
        <f aca="false">ROUND(J34+M34,2)</f>
        <v>5.82</v>
      </c>
      <c r="Q34" s="8" t="n">
        <f aca="false">ROUND(K34+N34,2)</f>
        <v>3.27</v>
      </c>
    </row>
    <row r="35" customFormat="false" ht="15" hidden="false" customHeight="false" outlineLevel="0" collapsed="false">
      <c r="A35" s="0" t="s">
        <v>270</v>
      </c>
      <c r="B35" s="0" t="s">
        <v>130</v>
      </c>
      <c r="C35" s="0" t="s">
        <v>165</v>
      </c>
      <c r="D35" s="0" t="s">
        <v>239</v>
      </c>
      <c r="E35" s="3" t="s">
        <v>210</v>
      </c>
      <c r="F35" s="8" t="s">
        <v>211</v>
      </c>
      <c r="G35" s="8" t="s">
        <v>235</v>
      </c>
      <c r="H35" s="0" t="n">
        <v>33.2</v>
      </c>
      <c r="I35" s="0" t="n">
        <v>20.9</v>
      </c>
      <c r="J35" s="0" t="n">
        <v>6.1</v>
      </c>
      <c r="K35" s="0" t="n">
        <v>7.2</v>
      </c>
      <c r="L35" s="0" t="n">
        <v>0</v>
      </c>
      <c r="M35" s="0" t="n">
        <v>0</v>
      </c>
      <c r="N35" s="0" t="n">
        <v>0</v>
      </c>
      <c r="O35" s="8" t="n">
        <f aca="false">ROUND(I35+L35,2)</f>
        <v>20.9</v>
      </c>
      <c r="P35" s="8" t="n">
        <f aca="false">ROUND(J35+M35,2)</f>
        <v>6.1</v>
      </c>
      <c r="Q35" s="8" t="n">
        <f aca="false">ROUND(K35+N35,2)</f>
        <v>7.2</v>
      </c>
    </row>
    <row r="36" customFormat="false" ht="15" hidden="false" customHeight="false" outlineLevel="0" collapsed="false">
      <c r="A36" s="0" t="s">
        <v>271</v>
      </c>
      <c r="B36" s="0" t="s">
        <v>79</v>
      </c>
      <c r="C36" s="0" t="s">
        <v>79</v>
      </c>
      <c r="D36" s="0" t="s">
        <v>234</v>
      </c>
      <c r="E36" s="3" t="s">
        <v>209</v>
      </c>
      <c r="F36" s="8" t="s">
        <v>208</v>
      </c>
      <c r="G36" s="8" t="s">
        <v>235</v>
      </c>
      <c r="H36" s="0" t="n">
        <v>33.4</v>
      </c>
      <c r="I36" s="0" t="n">
        <v>20.8</v>
      </c>
      <c r="J36" s="0" t="n">
        <v>3.4</v>
      </c>
      <c r="K36" s="0" t="n">
        <v>3.7</v>
      </c>
      <c r="L36" s="0" t="n">
        <v>1.235</v>
      </c>
      <c r="M36" s="0" t="n">
        <v>0.104</v>
      </c>
      <c r="N36" s="0" t="n">
        <v>0.207</v>
      </c>
      <c r="O36" s="8" t="n">
        <f aca="false">ROUND(I36+L36,2)</f>
        <v>22.04</v>
      </c>
      <c r="P36" s="8" t="n">
        <f aca="false">ROUND(J36+M36,2)</f>
        <v>3.5</v>
      </c>
      <c r="Q36" s="8" t="n">
        <f aca="false">ROUND(K36+N36,2)</f>
        <v>3.91</v>
      </c>
    </row>
    <row r="37" customFormat="false" ht="15" hidden="false" customHeight="false" outlineLevel="0" collapsed="false">
      <c r="A37" s="0" t="s">
        <v>272</v>
      </c>
      <c r="B37" s="0" t="s">
        <v>173</v>
      </c>
      <c r="C37" s="0" t="s">
        <v>173</v>
      </c>
      <c r="D37" s="0" t="s">
        <v>234</v>
      </c>
      <c r="E37" s="3" t="s">
        <v>209</v>
      </c>
      <c r="G37" s="8" t="s">
        <v>235</v>
      </c>
      <c r="H37" s="0" t="n">
        <v>29.4</v>
      </c>
      <c r="I37" s="0" t="n">
        <v>20.8</v>
      </c>
      <c r="J37" s="0" t="n">
        <v>4.3</v>
      </c>
      <c r="K37" s="0" t="n">
        <v>2.6</v>
      </c>
      <c r="L37" s="0" t="n">
        <v>0.372</v>
      </c>
      <c r="M37" s="0" t="n">
        <v>0.053</v>
      </c>
      <c r="N37" s="0" t="n">
        <v>-0.032</v>
      </c>
      <c r="O37" s="8" t="n">
        <f aca="false">ROUND(I37+L37,2)</f>
        <v>21.17</v>
      </c>
      <c r="P37" s="8" t="n">
        <f aca="false">ROUND(J37+M37,2)</f>
        <v>4.35</v>
      </c>
      <c r="Q37" s="8" t="n">
        <f aca="false">ROUND(K37+N37,2)</f>
        <v>2.57</v>
      </c>
    </row>
    <row r="38" customFormat="false" ht="15" hidden="false" customHeight="false" outlineLevel="0" collapsed="false">
      <c r="A38" s="0" t="s">
        <v>273</v>
      </c>
      <c r="B38" s="0" t="s">
        <v>161</v>
      </c>
      <c r="C38" s="0" t="s">
        <v>161</v>
      </c>
      <c r="D38" s="0" t="s">
        <v>234</v>
      </c>
      <c r="E38" s="3" t="s">
        <v>210</v>
      </c>
      <c r="G38" s="8" t="s">
        <v>235</v>
      </c>
      <c r="H38" s="0" t="n">
        <v>30</v>
      </c>
      <c r="I38" s="0" t="n">
        <v>20.6</v>
      </c>
      <c r="J38" s="0" t="n">
        <v>5.2</v>
      </c>
      <c r="K38" s="0" t="n">
        <v>3.3</v>
      </c>
      <c r="L38" s="0" t="n">
        <v>0.026</v>
      </c>
      <c r="M38" s="0" t="n">
        <v>-0.014</v>
      </c>
      <c r="N38" s="0" t="n">
        <v>0.028</v>
      </c>
      <c r="O38" s="8" t="n">
        <f aca="false">ROUND(I38+L38,2)</f>
        <v>20.63</v>
      </c>
      <c r="P38" s="8" t="n">
        <f aca="false">ROUND(J38+M38,2)</f>
        <v>5.19</v>
      </c>
      <c r="Q38" s="8" t="n">
        <f aca="false">ROUND(K38+N38,2)</f>
        <v>3.33</v>
      </c>
    </row>
    <row r="39" customFormat="false" ht="15" hidden="false" customHeight="false" outlineLevel="0" collapsed="false">
      <c r="A39" s="0" t="s">
        <v>274</v>
      </c>
      <c r="B39" s="0" t="s">
        <v>138</v>
      </c>
      <c r="C39" s="0" t="s">
        <v>142</v>
      </c>
      <c r="D39" s="0" t="s">
        <v>239</v>
      </c>
      <c r="E39" s="3" t="s">
        <v>209</v>
      </c>
      <c r="G39" s="8" t="s">
        <v>235</v>
      </c>
      <c r="H39" s="0" t="n">
        <v>31.3</v>
      </c>
      <c r="I39" s="0" t="n">
        <v>20.5</v>
      </c>
      <c r="J39" s="0" t="n">
        <v>4.8</v>
      </c>
      <c r="K39" s="0" t="n">
        <v>4.1</v>
      </c>
      <c r="L39" s="0" t="n">
        <v>0</v>
      </c>
      <c r="M39" s="0" t="n">
        <v>0</v>
      </c>
      <c r="N39" s="0" t="n">
        <v>0</v>
      </c>
      <c r="O39" s="8" t="n">
        <f aca="false">ROUND(I39+L39,2)</f>
        <v>20.5</v>
      </c>
      <c r="P39" s="8" t="n">
        <f aca="false">ROUND(J39+M39,2)</f>
        <v>4.8</v>
      </c>
      <c r="Q39" s="8" t="n">
        <f aca="false">ROUND(K39+N39,2)</f>
        <v>4.1</v>
      </c>
    </row>
    <row r="40" customFormat="false" ht="15" hidden="false" customHeight="false" outlineLevel="0" collapsed="false">
      <c r="A40" s="0" t="s">
        <v>275</v>
      </c>
      <c r="B40" s="0" t="s">
        <v>102</v>
      </c>
      <c r="C40" s="0" t="s">
        <v>102</v>
      </c>
      <c r="D40" s="0" t="s">
        <v>234</v>
      </c>
      <c r="E40" s="3" t="s">
        <v>212</v>
      </c>
      <c r="F40" s="8" t="s">
        <v>211</v>
      </c>
      <c r="G40" s="8" t="s">
        <v>235</v>
      </c>
      <c r="H40" s="0" t="n">
        <v>31.3</v>
      </c>
      <c r="I40" s="0" t="n">
        <v>20.4</v>
      </c>
      <c r="J40" s="0" t="n">
        <v>11.1</v>
      </c>
      <c r="K40" s="0" t="n">
        <v>2.8</v>
      </c>
      <c r="L40" s="0" t="n">
        <v>1.224</v>
      </c>
      <c r="M40" s="0" t="n">
        <v>0.432</v>
      </c>
      <c r="N40" s="0" t="n">
        <v>0.168</v>
      </c>
      <c r="O40" s="8" t="n">
        <f aca="false">ROUND(I40+L40,2)</f>
        <v>21.62</v>
      </c>
      <c r="P40" s="8" t="n">
        <f aca="false">ROUND(J40+M40,2)</f>
        <v>11.53</v>
      </c>
      <c r="Q40" s="8" t="n">
        <f aca="false">ROUND(K40+N40,2)</f>
        <v>2.97</v>
      </c>
    </row>
    <row r="41" customFormat="false" ht="15" hidden="false" customHeight="false" outlineLevel="0" collapsed="false">
      <c r="A41" s="0" t="s">
        <v>276</v>
      </c>
      <c r="B41" s="0" t="s">
        <v>118</v>
      </c>
      <c r="C41" s="0" t="s">
        <v>118</v>
      </c>
      <c r="D41" s="0" t="s">
        <v>234</v>
      </c>
      <c r="E41" s="3" t="s">
        <v>212</v>
      </c>
      <c r="G41" s="8" t="s">
        <v>235</v>
      </c>
      <c r="H41" s="0" t="n">
        <v>33.3</v>
      </c>
      <c r="I41" s="0" t="n">
        <v>20.4</v>
      </c>
      <c r="J41" s="0" t="n">
        <v>8.9</v>
      </c>
      <c r="K41" s="0" t="n">
        <v>6.2</v>
      </c>
      <c r="L41" s="0" t="n">
        <v>-0.066</v>
      </c>
      <c r="M41" s="0" t="n">
        <v>0.051</v>
      </c>
      <c r="N41" s="0" t="n">
        <v>-0.068</v>
      </c>
      <c r="O41" s="8" t="n">
        <f aca="false">ROUND(I41+L41,2)</f>
        <v>20.33</v>
      </c>
      <c r="P41" s="8" t="n">
        <f aca="false">ROUND(J41+M41,2)</f>
        <v>8.95</v>
      </c>
      <c r="Q41" s="8" t="n">
        <f aca="false">ROUND(K41+N41,2)</f>
        <v>6.13</v>
      </c>
    </row>
    <row r="42" customFormat="false" ht="15" hidden="false" customHeight="false" outlineLevel="0" collapsed="false">
      <c r="A42" s="0" t="s">
        <v>277</v>
      </c>
      <c r="B42" s="0" t="s">
        <v>169</v>
      </c>
      <c r="C42" s="0" t="s">
        <v>169</v>
      </c>
      <c r="D42" s="0" t="s">
        <v>243</v>
      </c>
      <c r="E42" s="3" t="s">
        <v>210</v>
      </c>
      <c r="G42" s="8" t="s">
        <v>235</v>
      </c>
      <c r="H42" s="0" t="n">
        <v>30.4</v>
      </c>
      <c r="I42" s="0" t="n">
        <v>20.2</v>
      </c>
      <c r="J42" s="0" t="n">
        <v>3.6</v>
      </c>
      <c r="K42" s="0" t="n">
        <v>1.8</v>
      </c>
      <c r="L42" s="0" t="n">
        <v>0.33</v>
      </c>
      <c r="M42" s="0" t="n">
        <v>0.039</v>
      </c>
      <c r="N42" s="0" t="n">
        <v>0.043</v>
      </c>
      <c r="O42" s="8" t="n">
        <f aca="false">ROUND(I42+L42,2)</f>
        <v>20.53</v>
      </c>
      <c r="P42" s="8" t="n">
        <f aca="false">ROUND(J42+M42,2)</f>
        <v>3.64</v>
      </c>
      <c r="Q42" s="8" t="n">
        <f aca="false">ROUND(K42+N42,2)</f>
        <v>1.84</v>
      </c>
    </row>
    <row r="43" customFormat="false" ht="15" hidden="false" customHeight="false" outlineLevel="0" collapsed="false">
      <c r="A43" s="0" t="s">
        <v>278</v>
      </c>
      <c r="B43" s="0" t="s">
        <v>91</v>
      </c>
      <c r="C43" s="0" t="s">
        <v>91</v>
      </c>
      <c r="D43" s="0" t="s">
        <v>234</v>
      </c>
      <c r="E43" s="3" t="s">
        <v>210</v>
      </c>
      <c r="G43" s="8" t="s">
        <v>235</v>
      </c>
      <c r="H43" s="0" t="n">
        <v>30.3</v>
      </c>
      <c r="I43" s="0" t="n">
        <v>20.2</v>
      </c>
      <c r="J43" s="0" t="n">
        <v>4.9</v>
      </c>
      <c r="K43" s="0" t="n">
        <v>3.3</v>
      </c>
      <c r="L43" s="0" t="n">
        <v>1.121</v>
      </c>
      <c r="M43" s="0" t="n">
        <v>0.096</v>
      </c>
      <c r="N43" s="0" t="n">
        <v>0.198</v>
      </c>
      <c r="O43" s="8" t="n">
        <f aca="false">ROUND(I43+L43,2)</f>
        <v>21.32</v>
      </c>
      <c r="P43" s="8" t="n">
        <f aca="false">ROUND(J43+M43,2)</f>
        <v>5</v>
      </c>
      <c r="Q43" s="8" t="n">
        <f aca="false">ROUND(K43+N43,2)</f>
        <v>3.5</v>
      </c>
    </row>
    <row r="44" customFormat="false" ht="15" hidden="false" customHeight="false" outlineLevel="0" collapsed="false">
      <c r="A44" s="0" t="s">
        <v>279</v>
      </c>
      <c r="B44" s="0" t="s">
        <v>138</v>
      </c>
      <c r="C44" s="0" t="s">
        <v>138</v>
      </c>
      <c r="D44" s="0" t="s">
        <v>234</v>
      </c>
      <c r="E44" s="3" t="s">
        <v>212</v>
      </c>
      <c r="G44" s="8" t="s">
        <v>235</v>
      </c>
      <c r="H44" s="0" t="n">
        <v>32.4</v>
      </c>
      <c r="I44" s="0" t="n">
        <v>20.1</v>
      </c>
      <c r="J44" s="0" t="n">
        <v>10</v>
      </c>
      <c r="K44" s="0" t="n">
        <v>3.2</v>
      </c>
      <c r="L44" s="0" t="n">
        <v>1.206</v>
      </c>
      <c r="M44" s="0" t="n">
        <v>0.524</v>
      </c>
      <c r="N44" s="0" t="n">
        <v>0.192</v>
      </c>
      <c r="O44" s="8" t="n">
        <f aca="false">ROUND(I44+L44,2)</f>
        <v>21.31</v>
      </c>
      <c r="P44" s="8" t="n">
        <f aca="false">ROUND(J44+M44,2)</f>
        <v>10.52</v>
      </c>
      <c r="Q44" s="8" t="n">
        <f aca="false">ROUND(K44+N44,2)</f>
        <v>3.39</v>
      </c>
    </row>
    <row r="45" customFormat="false" ht="15" hidden="false" customHeight="false" outlineLevel="0" collapsed="false">
      <c r="A45" s="0" t="s">
        <v>280</v>
      </c>
      <c r="B45" s="0" t="s">
        <v>91</v>
      </c>
      <c r="C45" s="0" t="s">
        <v>146</v>
      </c>
      <c r="D45" s="0" t="s">
        <v>239</v>
      </c>
      <c r="E45" s="3" t="s">
        <v>208</v>
      </c>
      <c r="G45" s="8" t="s">
        <v>235</v>
      </c>
      <c r="H45" s="0" t="n">
        <v>28</v>
      </c>
      <c r="I45" s="0" t="n">
        <v>20.1</v>
      </c>
      <c r="J45" s="0" t="n">
        <v>4.8</v>
      </c>
      <c r="K45" s="0" t="n">
        <v>7.1</v>
      </c>
      <c r="L45" s="0" t="n">
        <v>0</v>
      </c>
      <c r="M45" s="0" t="n">
        <v>0</v>
      </c>
      <c r="N45" s="0" t="n">
        <v>0</v>
      </c>
      <c r="O45" s="8" t="n">
        <f aca="false">ROUND(I45+L45,2)</f>
        <v>20.1</v>
      </c>
      <c r="P45" s="8" t="n">
        <f aca="false">ROUND(J45+M45,2)</f>
        <v>4.8</v>
      </c>
      <c r="Q45" s="8" t="n">
        <f aca="false">ROUND(K45+N45,2)</f>
        <v>7.1</v>
      </c>
    </row>
    <row r="46" customFormat="false" ht="15" hidden="false" customHeight="false" outlineLevel="0" collapsed="false">
      <c r="A46" s="0" t="s">
        <v>281</v>
      </c>
      <c r="B46" s="0" t="s">
        <v>161</v>
      </c>
      <c r="C46" s="0" t="s">
        <v>161</v>
      </c>
      <c r="D46" s="0" t="s">
        <v>234</v>
      </c>
      <c r="E46" s="3" t="s">
        <v>209</v>
      </c>
      <c r="G46" s="8" t="s">
        <v>235</v>
      </c>
      <c r="H46" s="0" t="n">
        <v>33.6</v>
      </c>
      <c r="I46" s="0" t="n">
        <v>20.1</v>
      </c>
      <c r="J46" s="0" t="n">
        <v>4.1</v>
      </c>
      <c r="K46" s="0" t="n">
        <v>4.1</v>
      </c>
      <c r="L46" s="0" t="n">
        <v>0.017</v>
      </c>
      <c r="M46" s="0" t="n">
        <v>-0.007</v>
      </c>
      <c r="N46" s="0" t="n">
        <v>0.023</v>
      </c>
      <c r="O46" s="8" t="n">
        <f aca="false">ROUND(I46+L46,2)</f>
        <v>20.12</v>
      </c>
      <c r="P46" s="8" t="n">
        <f aca="false">ROUND(J46+M46,2)</f>
        <v>4.09</v>
      </c>
      <c r="Q46" s="8" t="n">
        <f aca="false">ROUND(K46+N46,2)</f>
        <v>4.12</v>
      </c>
    </row>
    <row r="47" customFormat="false" ht="15" hidden="false" customHeight="false" outlineLevel="0" collapsed="false">
      <c r="A47" s="0" t="s">
        <v>282</v>
      </c>
      <c r="B47" s="0" t="s">
        <v>154</v>
      </c>
      <c r="C47" s="0" t="s">
        <v>154</v>
      </c>
      <c r="D47" s="0" t="s">
        <v>234</v>
      </c>
      <c r="E47" s="3" t="s">
        <v>212</v>
      </c>
      <c r="F47" s="8" t="s">
        <v>211</v>
      </c>
      <c r="G47" s="8" t="s">
        <v>235</v>
      </c>
      <c r="H47" s="0" t="n">
        <v>31</v>
      </c>
      <c r="I47" s="0" t="n">
        <v>20.1</v>
      </c>
      <c r="J47" s="0" t="n">
        <v>11.9</v>
      </c>
      <c r="K47" s="0" t="n">
        <v>3</v>
      </c>
      <c r="L47" s="0" t="n">
        <v>0.07</v>
      </c>
      <c r="M47" s="0" t="n">
        <v>0.264</v>
      </c>
      <c r="N47" s="0" t="n">
        <v>0.003</v>
      </c>
      <c r="O47" s="8" t="n">
        <f aca="false">ROUND(I47+L47,2)</f>
        <v>20.17</v>
      </c>
      <c r="P47" s="8" t="n">
        <f aca="false">ROUND(J47+M47,2)</f>
        <v>12.16</v>
      </c>
      <c r="Q47" s="8" t="n">
        <f aca="false">ROUND(K47+N47,2)</f>
        <v>3</v>
      </c>
    </row>
    <row r="48" customFormat="false" ht="15" hidden="false" customHeight="false" outlineLevel="0" collapsed="false">
      <c r="A48" s="0" t="s">
        <v>283</v>
      </c>
      <c r="B48" s="0" t="s">
        <v>114</v>
      </c>
      <c r="C48" s="0" t="s">
        <v>114</v>
      </c>
      <c r="D48" s="0" t="s">
        <v>234</v>
      </c>
      <c r="E48" s="3" t="s">
        <v>210</v>
      </c>
      <c r="G48" s="8" t="s">
        <v>235</v>
      </c>
      <c r="H48" s="0" t="n">
        <v>31.1</v>
      </c>
      <c r="I48" s="0" t="n">
        <v>20</v>
      </c>
      <c r="J48" s="0" t="n">
        <v>5.6</v>
      </c>
      <c r="K48" s="0" t="n">
        <v>4.9</v>
      </c>
      <c r="L48" s="0" t="n">
        <v>0.421</v>
      </c>
      <c r="M48" s="0" t="n">
        <v>0.179</v>
      </c>
      <c r="N48" s="0" t="n">
        <v>0.076</v>
      </c>
      <c r="O48" s="8" t="n">
        <f aca="false">ROUND(I48+L48,2)</f>
        <v>20.42</v>
      </c>
      <c r="P48" s="8" t="n">
        <f aca="false">ROUND(J48+M48,2)</f>
        <v>5.78</v>
      </c>
      <c r="Q48" s="8" t="n">
        <f aca="false">ROUND(K48+N48,2)</f>
        <v>4.98</v>
      </c>
    </row>
    <row r="49" customFormat="false" ht="15" hidden="false" customHeight="false" outlineLevel="0" collapsed="false">
      <c r="A49" s="0" t="s">
        <v>284</v>
      </c>
      <c r="B49" s="0" t="s">
        <v>134</v>
      </c>
      <c r="C49" s="0" t="s">
        <v>134</v>
      </c>
      <c r="D49" s="0" t="s">
        <v>234</v>
      </c>
      <c r="E49" s="3" t="s">
        <v>208</v>
      </c>
      <c r="F49" s="8" t="s">
        <v>209</v>
      </c>
      <c r="G49" s="8" t="s">
        <v>235</v>
      </c>
      <c r="H49" s="0" t="n">
        <v>22.6</v>
      </c>
      <c r="I49" s="0" t="n">
        <v>19.7</v>
      </c>
      <c r="J49" s="0" t="n">
        <v>2.8</v>
      </c>
      <c r="K49" s="0" t="n">
        <v>5.7</v>
      </c>
      <c r="L49" s="0" t="n">
        <v>1.182</v>
      </c>
      <c r="M49" s="0" t="n">
        <v>0.168</v>
      </c>
      <c r="N49" s="0" t="n">
        <v>0.342</v>
      </c>
      <c r="O49" s="8" t="n">
        <f aca="false">ROUND(I49+L49,2)</f>
        <v>20.88</v>
      </c>
      <c r="P49" s="8" t="n">
        <f aca="false">ROUND(J49+M49,2)</f>
        <v>2.97</v>
      </c>
      <c r="Q49" s="8" t="n">
        <f aca="false">ROUND(K49+N49,2)</f>
        <v>6.04</v>
      </c>
    </row>
    <row r="50" customFormat="false" ht="15" hidden="false" customHeight="false" outlineLevel="0" collapsed="false">
      <c r="A50" s="0" t="s">
        <v>285</v>
      </c>
      <c r="B50" s="0" t="s">
        <v>110</v>
      </c>
      <c r="C50" s="0" t="s">
        <v>110</v>
      </c>
      <c r="D50" s="0" t="s">
        <v>243</v>
      </c>
      <c r="E50" s="3" t="s">
        <v>212</v>
      </c>
      <c r="G50" s="8" t="s">
        <v>235</v>
      </c>
      <c r="H50" s="0" t="n">
        <v>28.2</v>
      </c>
      <c r="I50" s="0" t="n">
        <v>19.5</v>
      </c>
      <c r="J50" s="0" t="n">
        <v>10.5</v>
      </c>
      <c r="K50" s="0" t="n">
        <v>2</v>
      </c>
      <c r="L50" s="0" t="n">
        <v>0.954</v>
      </c>
      <c r="M50" s="0" t="n">
        <v>0.443</v>
      </c>
      <c r="N50" s="0" t="n">
        <v>0.12</v>
      </c>
      <c r="O50" s="8" t="n">
        <f aca="false">ROUND(I50+L50,2)</f>
        <v>20.45</v>
      </c>
      <c r="P50" s="8" t="n">
        <f aca="false">ROUND(J50+M50,2)</f>
        <v>10.94</v>
      </c>
      <c r="Q50" s="8" t="n">
        <f aca="false">ROUND(K50+N50,2)</f>
        <v>2.12</v>
      </c>
    </row>
    <row r="51" customFormat="false" ht="15" hidden="false" customHeight="false" outlineLevel="0" collapsed="false">
      <c r="A51" s="0" t="s">
        <v>286</v>
      </c>
      <c r="B51" s="0" t="s">
        <v>134</v>
      </c>
      <c r="C51" s="0" t="s">
        <v>173</v>
      </c>
      <c r="D51" s="0" t="s">
        <v>239</v>
      </c>
      <c r="E51" s="3" t="s">
        <v>208</v>
      </c>
      <c r="G51" s="8" t="s">
        <v>235</v>
      </c>
      <c r="H51" s="0" t="n">
        <v>28.5</v>
      </c>
      <c r="I51" s="0" t="n">
        <v>19.5</v>
      </c>
      <c r="J51" s="0" t="n">
        <v>3.3</v>
      </c>
      <c r="K51" s="0" t="n">
        <v>8.1</v>
      </c>
      <c r="L51" s="0" t="n">
        <v>0</v>
      </c>
      <c r="M51" s="0" t="n">
        <v>0</v>
      </c>
      <c r="N51" s="0" t="n">
        <v>0</v>
      </c>
      <c r="O51" s="8" t="n">
        <f aca="false">ROUND(I51+L51,2)</f>
        <v>19.5</v>
      </c>
      <c r="P51" s="8" t="n">
        <f aca="false">ROUND(J51+M51,2)</f>
        <v>3.3</v>
      </c>
      <c r="Q51" s="8" t="n">
        <f aca="false">ROUND(K51+N51,2)</f>
        <v>8.1</v>
      </c>
    </row>
    <row r="52" customFormat="false" ht="15" hidden="false" customHeight="false" outlineLevel="0" collapsed="false">
      <c r="A52" s="0" t="s">
        <v>287</v>
      </c>
      <c r="B52" s="0" t="s">
        <v>188</v>
      </c>
      <c r="C52" s="0" t="s">
        <v>188</v>
      </c>
      <c r="D52" s="0" t="s">
        <v>234</v>
      </c>
      <c r="E52" s="3" t="s">
        <v>211</v>
      </c>
      <c r="F52" s="8" t="s">
        <v>212</v>
      </c>
      <c r="G52" s="8" t="s">
        <v>235</v>
      </c>
      <c r="H52" s="0" t="n">
        <v>30.3</v>
      </c>
      <c r="I52" s="0" t="n">
        <v>19.4</v>
      </c>
      <c r="J52" s="0" t="n">
        <v>5.7</v>
      </c>
      <c r="K52" s="0" t="n">
        <v>2</v>
      </c>
      <c r="L52" s="0" t="n">
        <v>0.769</v>
      </c>
      <c r="M52" s="0" t="n">
        <v>0.295</v>
      </c>
      <c r="N52" s="0" t="n">
        <v>0.108</v>
      </c>
      <c r="O52" s="8" t="n">
        <f aca="false">ROUND(I52+L52,2)</f>
        <v>20.17</v>
      </c>
      <c r="P52" s="8" t="n">
        <f aca="false">ROUND(J52+M52,2)</f>
        <v>6</v>
      </c>
      <c r="Q52" s="8" t="n">
        <f aca="false">ROUND(K52+N52,2)</f>
        <v>2.11</v>
      </c>
    </row>
    <row r="53" customFormat="false" ht="15" hidden="false" customHeight="false" outlineLevel="0" collapsed="false">
      <c r="A53" s="0" t="s">
        <v>288</v>
      </c>
      <c r="B53" s="0" t="s">
        <v>184</v>
      </c>
      <c r="C53" s="0" t="s">
        <v>184</v>
      </c>
      <c r="D53" s="0" t="s">
        <v>234</v>
      </c>
      <c r="E53" s="3" t="s">
        <v>210</v>
      </c>
      <c r="F53" s="8" t="s">
        <v>209</v>
      </c>
      <c r="G53" s="8" t="s">
        <v>235</v>
      </c>
      <c r="H53" s="0" t="n">
        <v>30.3</v>
      </c>
      <c r="I53" s="0" t="n">
        <v>19.3</v>
      </c>
      <c r="J53" s="0" t="n">
        <v>5.3</v>
      </c>
      <c r="K53" s="0" t="n">
        <v>3.3</v>
      </c>
      <c r="L53" s="0" t="n">
        <v>1.158</v>
      </c>
      <c r="M53" s="0" t="n">
        <v>0.318</v>
      </c>
      <c r="N53" s="0" t="n">
        <v>0.099</v>
      </c>
      <c r="O53" s="8" t="n">
        <f aca="false">ROUND(I53+L53,2)</f>
        <v>20.46</v>
      </c>
      <c r="P53" s="8" t="n">
        <f aca="false">ROUND(J53+M53,2)</f>
        <v>5.62</v>
      </c>
      <c r="Q53" s="8" t="n">
        <f aca="false">ROUND(K53+N53,2)</f>
        <v>3.4</v>
      </c>
    </row>
    <row r="54" customFormat="false" ht="15" hidden="false" customHeight="false" outlineLevel="0" collapsed="false">
      <c r="A54" s="0" t="s">
        <v>289</v>
      </c>
      <c r="B54" s="0" t="s">
        <v>177</v>
      </c>
      <c r="C54" s="0" t="s">
        <v>177</v>
      </c>
      <c r="D54" s="0" t="s">
        <v>234</v>
      </c>
      <c r="E54" s="3" t="s">
        <v>209</v>
      </c>
      <c r="G54" s="8" t="s">
        <v>235</v>
      </c>
      <c r="H54" s="0" t="n">
        <v>31.4</v>
      </c>
      <c r="I54" s="0" t="n">
        <v>19.2</v>
      </c>
      <c r="J54" s="0" t="n">
        <v>2.8</v>
      </c>
      <c r="K54" s="0" t="n">
        <v>2.3</v>
      </c>
      <c r="L54" s="0" t="n">
        <v>0.905</v>
      </c>
      <c r="M54" s="0" t="n">
        <v>0.071</v>
      </c>
      <c r="N54" s="0" t="n">
        <v>0.133</v>
      </c>
      <c r="O54" s="8" t="n">
        <f aca="false">ROUND(I54+L54,2)</f>
        <v>20.11</v>
      </c>
      <c r="P54" s="8" t="n">
        <f aca="false">ROUND(J54+M54,2)</f>
        <v>2.87</v>
      </c>
      <c r="Q54" s="8" t="n">
        <f aca="false">ROUND(K54+N54,2)</f>
        <v>2.43</v>
      </c>
    </row>
    <row r="55" customFormat="false" ht="15" hidden="false" customHeight="false" outlineLevel="0" collapsed="false">
      <c r="A55" s="0" t="s">
        <v>290</v>
      </c>
      <c r="B55" s="0" t="s">
        <v>126</v>
      </c>
      <c r="C55" s="0" t="s">
        <v>126</v>
      </c>
      <c r="D55" s="0" t="s">
        <v>234</v>
      </c>
      <c r="E55" s="3" t="s">
        <v>208</v>
      </c>
      <c r="G55" s="8" t="s">
        <v>235</v>
      </c>
      <c r="H55" s="0" t="n">
        <v>29.9</v>
      </c>
      <c r="I55" s="0" t="n">
        <v>18.8</v>
      </c>
      <c r="J55" s="0" t="n">
        <v>2.4</v>
      </c>
      <c r="K55" s="0" t="n">
        <v>6.7</v>
      </c>
      <c r="L55" s="0" t="n">
        <v>1.128</v>
      </c>
      <c r="M55" s="0" t="n">
        <v>0.144</v>
      </c>
      <c r="N55" s="0" t="n">
        <v>0.402</v>
      </c>
      <c r="O55" s="8" t="n">
        <f aca="false">ROUND(I55+L55,2)</f>
        <v>19.93</v>
      </c>
      <c r="P55" s="8" t="n">
        <f aca="false">ROUND(J55+M55,2)</f>
        <v>2.54</v>
      </c>
      <c r="Q55" s="8" t="n">
        <f aca="false">ROUND(K55+N55,2)</f>
        <v>7.1</v>
      </c>
    </row>
    <row r="56" customFormat="false" ht="15" hidden="false" customHeight="false" outlineLevel="0" collapsed="false">
      <c r="A56" s="0" t="s">
        <v>291</v>
      </c>
      <c r="B56" s="0" t="s">
        <v>79</v>
      </c>
      <c r="C56" s="0" t="s">
        <v>79</v>
      </c>
      <c r="D56" s="0" t="s">
        <v>243</v>
      </c>
      <c r="E56" s="3" t="s">
        <v>209</v>
      </c>
      <c r="F56" s="8" t="s">
        <v>208</v>
      </c>
      <c r="G56" s="8" t="s">
        <v>235</v>
      </c>
      <c r="H56" s="0" t="n">
        <v>29.8</v>
      </c>
      <c r="I56" s="0" t="n">
        <v>18.7</v>
      </c>
      <c r="J56" s="0" t="n">
        <v>3.3</v>
      </c>
      <c r="K56" s="0" t="n">
        <v>3.9</v>
      </c>
      <c r="L56" s="0" t="n">
        <v>1.122</v>
      </c>
      <c r="M56" s="0" t="n">
        <v>0.156</v>
      </c>
      <c r="N56" s="0" t="n">
        <v>0.234</v>
      </c>
      <c r="O56" s="8" t="n">
        <f aca="false">ROUND(I56+L56,2)</f>
        <v>19.82</v>
      </c>
      <c r="P56" s="8" t="n">
        <f aca="false">ROUND(J56+M56,2)</f>
        <v>3.46</v>
      </c>
      <c r="Q56" s="8" t="n">
        <f aca="false">ROUND(K56+N56,2)</f>
        <v>4.13</v>
      </c>
    </row>
    <row r="57" customFormat="false" ht="15" hidden="false" customHeight="false" outlineLevel="0" collapsed="false">
      <c r="A57" s="0" t="s">
        <v>292</v>
      </c>
      <c r="B57" s="0" t="s">
        <v>180</v>
      </c>
      <c r="C57" s="0" t="s">
        <v>180</v>
      </c>
      <c r="D57" s="0" t="s">
        <v>234</v>
      </c>
      <c r="E57" s="3" t="s">
        <v>208</v>
      </c>
      <c r="G57" s="8" t="s">
        <v>235</v>
      </c>
      <c r="H57" s="0" t="n">
        <v>31</v>
      </c>
      <c r="I57" s="0" t="n">
        <v>18.6</v>
      </c>
      <c r="J57" s="0" t="n">
        <v>3.8</v>
      </c>
      <c r="K57" s="0" t="n">
        <v>6.2</v>
      </c>
      <c r="L57" s="0" t="n">
        <v>-0.116</v>
      </c>
      <c r="M57" s="0" t="n">
        <v>-0.007</v>
      </c>
      <c r="N57" s="0" t="n">
        <v>-0.022</v>
      </c>
      <c r="O57" s="8" t="n">
        <f aca="false">ROUND(I57+L57,2)</f>
        <v>18.48</v>
      </c>
      <c r="P57" s="8" t="n">
        <f aca="false">ROUND(J57+M57,2)</f>
        <v>3.79</v>
      </c>
      <c r="Q57" s="8" t="n">
        <f aca="false">ROUND(K57+N57,2)</f>
        <v>6.18</v>
      </c>
    </row>
    <row r="58" customFormat="false" ht="15" hidden="false" customHeight="false" outlineLevel="0" collapsed="false">
      <c r="A58" s="0" t="s">
        <v>293</v>
      </c>
      <c r="B58" s="0" t="s">
        <v>173</v>
      </c>
      <c r="C58" s="0" t="s">
        <v>134</v>
      </c>
      <c r="D58" s="0" t="s">
        <v>239</v>
      </c>
      <c r="E58" s="3" t="s">
        <v>211</v>
      </c>
      <c r="F58" s="8" t="s">
        <v>210</v>
      </c>
      <c r="G58" s="8" t="s">
        <v>235</v>
      </c>
      <c r="H58" s="0" t="n">
        <v>29.7</v>
      </c>
      <c r="I58" s="0" t="n">
        <v>18.6</v>
      </c>
      <c r="J58" s="0" t="n">
        <v>3.5</v>
      </c>
      <c r="K58" s="0" t="n">
        <v>2.1</v>
      </c>
      <c r="L58" s="0" t="n">
        <v>0</v>
      </c>
      <c r="M58" s="0" t="n">
        <v>0</v>
      </c>
      <c r="N58" s="0" t="n">
        <v>0</v>
      </c>
      <c r="O58" s="8" t="n">
        <f aca="false">ROUND(I58+L58,2)</f>
        <v>18.6</v>
      </c>
      <c r="P58" s="8" t="n">
        <f aca="false">ROUND(J58+M58,2)</f>
        <v>3.5</v>
      </c>
      <c r="Q58" s="8" t="n">
        <f aca="false">ROUND(K58+N58,2)</f>
        <v>2.1</v>
      </c>
    </row>
    <row r="59" customFormat="false" ht="15" hidden="false" customHeight="false" outlineLevel="0" collapsed="false">
      <c r="A59" s="0" t="s">
        <v>294</v>
      </c>
      <c r="B59" s="0" t="s">
        <v>91</v>
      </c>
      <c r="C59" s="0" t="s">
        <v>91</v>
      </c>
      <c r="D59" s="0" t="s">
        <v>234</v>
      </c>
      <c r="E59" s="3" t="s">
        <v>209</v>
      </c>
      <c r="F59" s="8" t="s">
        <v>210</v>
      </c>
      <c r="G59" s="8" t="s">
        <v>235</v>
      </c>
      <c r="H59" s="0" t="n">
        <v>31.5</v>
      </c>
      <c r="I59" s="0" t="n">
        <v>18.5</v>
      </c>
      <c r="J59" s="0" t="n">
        <v>5.3</v>
      </c>
      <c r="K59" s="0" t="n">
        <v>3.4</v>
      </c>
      <c r="L59" s="0" t="n">
        <v>0.9</v>
      </c>
      <c r="M59" s="0" t="n">
        <v>0.091</v>
      </c>
      <c r="N59" s="0" t="n">
        <v>0.185</v>
      </c>
      <c r="O59" s="8" t="n">
        <f aca="false">ROUND(I59+L59,2)</f>
        <v>19.4</v>
      </c>
      <c r="P59" s="8" t="n">
        <f aca="false">ROUND(J59+M59,2)</f>
        <v>5.39</v>
      </c>
      <c r="Q59" s="8" t="n">
        <f aca="false">ROUND(K59+N59,2)</f>
        <v>3.59</v>
      </c>
    </row>
    <row r="60" customFormat="false" ht="15" hidden="false" customHeight="false" outlineLevel="0" collapsed="false">
      <c r="A60" s="0" t="s">
        <v>295</v>
      </c>
      <c r="B60" s="0" t="s">
        <v>177</v>
      </c>
      <c r="C60" s="0" t="s">
        <v>106</v>
      </c>
      <c r="D60" s="0" t="s">
        <v>239</v>
      </c>
      <c r="E60" s="3" t="s">
        <v>210</v>
      </c>
      <c r="F60" s="8" t="s">
        <v>209</v>
      </c>
      <c r="G60" s="8" t="s">
        <v>235</v>
      </c>
      <c r="H60" s="0" t="n">
        <v>31.2</v>
      </c>
      <c r="I60" s="0" t="n">
        <v>18.4</v>
      </c>
      <c r="J60" s="0" t="n">
        <v>2.9</v>
      </c>
      <c r="K60" s="0" t="n">
        <v>4.1</v>
      </c>
      <c r="L60" s="0" t="n">
        <v>0</v>
      </c>
      <c r="M60" s="0" t="n">
        <v>0</v>
      </c>
      <c r="N60" s="0" t="n">
        <v>0</v>
      </c>
      <c r="O60" s="8" t="n">
        <f aca="false">ROUND(I60+L60,2)</f>
        <v>18.4</v>
      </c>
      <c r="P60" s="8" t="n">
        <f aca="false">ROUND(J60+M60,2)</f>
        <v>2.9</v>
      </c>
      <c r="Q60" s="8" t="n">
        <f aca="false">ROUND(K60+N60,2)</f>
        <v>4.1</v>
      </c>
    </row>
    <row r="61" customFormat="false" ht="15" hidden="false" customHeight="false" outlineLevel="0" collapsed="false">
      <c r="A61" s="0" t="s">
        <v>296</v>
      </c>
      <c r="B61" s="0" t="s">
        <v>118</v>
      </c>
      <c r="C61" s="0" t="s">
        <v>118</v>
      </c>
      <c r="D61" s="0" t="s">
        <v>243</v>
      </c>
      <c r="E61" s="3" t="s">
        <v>209</v>
      </c>
      <c r="F61" s="8" t="s">
        <v>210</v>
      </c>
      <c r="G61" s="8" t="s">
        <v>235</v>
      </c>
      <c r="H61" s="0" t="n">
        <v>37.4</v>
      </c>
      <c r="I61" s="0" t="n">
        <v>18.3</v>
      </c>
      <c r="J61" s="0" t="n">
        <v>7.8</v>
      </c>
      <c r="K61" s="0" t="n">
        <v>5.3</v>
      </c>
      <c r="L61" s="0" t="n">
        <v>-0.023</v>
      </c>
      <c r="M61" s="0" t="n">
        <v>0.017</v>
      </c>
      <c r="N61" s="0" t="n">
        <v>-0.022</v>
      </c>
      <c r="O61" s="8" t="n">
        <f aca="false">ROUND(I61+L61,2)</f>
        <v>18.28</v>
      </c>
      <c r="P61" s="8" t="n">
        <f aca="false">ROUND(J61+M61,2)</f>
        <v>7.82</v>
      </c>
      <c r="Q61" s="8" t="n">
        <f aca="false">ROUND(K61+N61,2)</f>
        <v>5.28</v>
      </c>
    </row>
    <row r="62" customFormat="false" ht="15" hidden="false" customHeight="false" outlineLevel="0" collapsed="false">
      <c r="A62" s="0" t="s">
        <v>297</v>
      </c>
      <c r="B62" s="0" t="s">
        <v>98</v>
      </c>
      <c r="C62" s="0" t="s">
        <v>98</v>
      </c>
      <c r="D62" s="0" t="s">
        <v>234</v>
      </c>
      <c r="E62" s="3" t="s">
        <v>211</v>
      </c>
      <c r="F62" s="8" t="s">
        <v>212</v>
      </c>
      <c r="G62" s="8" t="s">
        <v>235</v>
      </c>
      <c r="H62" s="0" t="n">
        <v>31.9</v>
      </c>
      <c r="I62" s="0" t="n">
        <v>18.2</v>
      </c>
      <c r="J62" s="0" t="n">
        <v>9</v>
      </c>
      <c r="K62" s="0" t="n">
        <v>3.6</v>
      </c>
      <c r="L62" s="0" t="n">
        <v>1.092</v>
      </c>
      <c r="M62" s="0" t="n">
        <v>0.54</v>
      </c>
      <c r="N62" s="0" t="n">
        <v>0.216</v>
      </c>
      <c r="O62" s="8" t="n">
        <f aca="false">ROUND(I62+L62,2)</f>
        <v>19.29</v>
      </c>
      <c r="P62" s="8" t="n">
        <f aca="false">ROUND(J62+M62,2)</f>
        <v>9.54</v>
      </c>
      <c r="Q62" s="8" t="n">
        <f aca="false">ROUND(K62+N62,2)</f>
        <v>3.82</v>
      </c>
    </row>
    <row r="63" customFormat="false" ht="15" hidden="false" customHeight="false" outlineLevel="0" collapsed="false">
      <c r="A63" s="0" t="s">
        <v>298</v>
      </c>
      <c r="B63" s="0" t="s">
        <v>184</v>
      </c>
      <c r="C63" s="0" t="s">
        <v>184</v>
      </c>
      <c r="D63" s="0" t="s">
        <v>234</v>
      </c>
      <c r="E63" s="3" t="s">
        <v>211</v>
      </c>
      <c r="F63" s="8" t="s">
        <v>210</v>
      </c>
      <c r="G63" s="8" t="s">
        <v>235</v>
      </c>
      <c r="H63" s="0" t="n">
        <v>33.5</v>
      </c>
      <c r="I63" s="0" t="n">
        <v>18.1</v>
      </c>
      <c r="J63" s="0" t="n">
        <v>7.5</v>
      </c>
      <c r="K63" s="0" t="n">
        <v>5.9</v>
      </c>
      <c r="L63" s="0" t="n">
        <v>0.785</v>
      </c>
      <c r="M63" s="0" t="n">
        <v>0.314</v>
      </c>
      <c r="N63" s="0" t="n">
        <v>0.119</v>
      </c>
      <c r="O63" s="8" t="n">
        <f aca="false">ROUND(I63+L63,2)</f>
        <v>18.89</v>
      </c>
      <c r="P63" s="8" t="n">
        <f aca="false">ROUND(J63+M63,2)</f>
        <v>7.81</v>
      </c>
      <c r="Q63" s="8" t="n">
        <f aca="false">ROUND(K63+N63,2)</f>
        <v>6.02</v>
      </c>
    </row>
    <row r="64" customFormat="false" ht="15" hidden="false" customHeight="false" outlineLevel="0" collapsed="false">
      <c r="A64" s="0" t="s">
        <v>299</v>
      </c>
      <c r="B64" s="0" t="s">
        <v>192</v>
      </c>
      <c r="C64" s="0" t="s">
        <v>192</v>
      </c>
      <c r="D64" s="0" t="s">
        <v>243</v>
      </c>
      <c r="E64" s="3" t="s">
        <v>208</v>
      </c>
      <c r="G64" s="8" t="s">
        <v>235</v>
      </c>
      <c r="H64" s="0" t="n">
        <v>25.6</v>
      </c>
      <c r="I64" s="0" t="n">
        <v>17.9</v>
      </c>
      <c r="J64" s="0" t="n">
        <v>2</v>
      </c>
      <c r="K64" s="0" t="n">
        <v>8</v>
      </c>
      <c r="L64" s="0" t="n">
        <v>1.074</v>
      </c>
      <c r="M64" s="0" t="n">
        <v>0.085</v>
      </c>
      <c r="N64" s="0" t="n">
        <v>0.393</v>
      </c>
      <c r="O64" s="8" t="n">
        <f aca="false">ROUND(I64+L64,2)</f>
        <v>18.97</v>
      </c>
      <c r="P64" s="8" t="n">
        <f aca="false">ROUND(J64+M64,2)</f>
        <v>2.09</v>
      </c>
      <c r="Q64" s="8" t="n">
        <f aca="false">ROUND(K64+N64,2)</f>
        <v>8.39</v>
      </c>
    </row>
    <row r="65" customFormat="false" ht="15" hidden="false" customHeight="false" outlineLevel="0" collapsed="false">
      <c r="A65" s="0" t="s">
        <v>300</v>
      </c>
      <c r="B65" s="0" t="s">
        <v>169</v>
      </c>
      <c r="C65" s="0" t="s">
        <v>169</v>
      </c>
      <c r="D65" s="0" t="s">
        <v>234</v>
      </c>
      <c r="E65" s="3" t="s">
        <v>209</v>
      </c>
      <c r="G65" s="8" t="s">
        <v>235</v>
      </c>
      <c r="H65" s="0" t="n">
        <v>25.9</v>
      </c>
      <c r="I65" s="0" t="n">
        <v>17.8</v>
      </c>
      <c r="J65" s="0" t="n">
        <v>3.6</v>
      </c>
      <c r="K65" s="0" t="n">
        <v>2.8</v>
      </c>
      <c r="L65" s="0" t="n">
        <v>0.427</v>
      </c>
      <c r="M65" s="0" t="n">
        <v>0.057</v>
      </c>
      <c r="N65" s="0" t="n">
        <v>0.099</v>
      </c>
      <c r="O65" s="8" t="n">
        <f aca="false">ROUND(I65+L65,2)</f>
        <v>18.23</v>
      </c>
      <c r="P65" s="8" t="n">
        <f aca="false">ROUND(J65+M65,2)</f>
        <v>3.66</v>
      </c>
      <c r="Q65" s="8" t="n">
        <f aca="false">ROUND(K65+N65,2)</f>
        <v>2.9</v>
      </c>
    </row>
    <row r="66" customFormat="false" ht="15" hidden="false" customHeight="false" outlineLevel="0" collapsed="false">
      <c r="A66" s="0" t="s">
        <v>301</v>
      </c>
      <c r="B66" s="0" t="s">
        <v>150</v>
      </c>
      <c r="C66" s="0" t="s">
        <v>150</v>
      </c>
      <c r="D66" s="0" t="s">
        <v>243</v>
      </c>
      <c r="E66" s="3" t="s">
        <v>210</v>
      </c>
      <c r="F66" s="8" t="s">
        <v>211</v>
      </c>
      <c r="G66" s="8" t="s">
        <v>235</v>
      </c>
      <c r="H66" s="0" t="n">
        <v>31.2</v>
      </c>
      <c r="I66" s="0" t="n">
        <v>17.7</v>
      </c>
      <c r="J66" s="0" t="n">
        <v>5.6</v>
      </c>
      <c r="K66" s="0" t="n">
        <v>2.5</v>
      </c>
      <c r="L66" s="0" t="n">
        <v>0.123</v>
      </c>
      <c r="M66" s="0" t="n">
        <v>0.104</v>
      </c>
      <c r="N66" s="0" t="n">
        <v>0.049</v>
      </c>
      <c r="O66" s="8" t="n">
        <f aca="false">ROUND(I66+L66,2)</f>
        <v>17.82</v>
      </c>
      <c r="P66" s="8" t="n">
        <f aca="false">ROUND(J66+M66,2)</f>
        <v>5.7</v>
      </c>
      <c r="Q66" s="8" t="n">
        <f aca="false">ROUND(K66+N66,2)</f>
        <v>2.55</v>
      </c>
    </row>
    <row r="67" customFormat="false" ht="15" hidden="false" customHeight="false" outlineLevel="0" collapsed="false">
      <c r="A67" s="0" t="s">
        <v>302</v>
      </c>
      <c r="B67" s="0" t="s">
        <v>126</v>
      </c>
      <c r="C67" s="0" t="s">
        <v>150</v>
      </c>
      <c r="D67" s="0" t="s">
        <v>239</v>
      </c>
      <c r="E67" s="3" t="s">
        <v>209</v>
      </c>
      <c r="F67" s="8" t="s">
        <v>210</v>
      </c>
      <c r="G67" s="8" t="s">
        <v>235</v>
      </c>
      <c r="H67" s="0" t="n">
        <v>30</v>
      </c>
      <c r="I67" s="0" t="n">
        <v>17.6</v>
      </c>
      <c r="J67" s="0" t="n">
        <v>5.4</v>
      </c>
      <c r="K67" s="0" t="n">
        <v>2.4</v>
      </c>
      <c r="L67" s="0" t="n">
        <v>0</v>
      </c>
      <c r="M67" s="0" t="n">
        <v>0</v>
      </c>
      <c r="N67" s="0" t="n">
        <v>0</v>
      </c>
      <c r="O67" s="8" t="n">
        <f aca="false">ROUND(I67+L67,2)</f>
        <v>17.6</v>
      </c>
      <c r="P67" s="8" t="n">
        <f aca="false">ROUND(J67+M67,2)</f>
        <v>5.4</v>
      </c>
      <c r="Q67" s="8" t="n">
        <f aca="false">ROUND(K67+N67,2)</f>
        <v>2.4</v>
      </c>
    </row>
    <row r="68" customFormat="false" ht="15" hidden="false" customHeight="false" outlineLevel="0" collapsed="false">
      <c r="A68" s="0" t="s">
        <v>303</v>
      </c>
      <c r="B68" s="0" t="s">
        <v>91</v>
      </c>
      <c r="C68" s="0" t="s">
        <v>91</v>
      </c>
      <c r="D68" s="0" t="s">
        <v>243</v>
      </c>
      <c r="E68" s="3" t="s">
        <v>208</v>
      </c>
      <c r="G68" s="8" t="s">
        <v>235</v>
      </c>
      <c r="H68" s="0" t="n">
        <v>25</v>
      </c>
      <c r="I68" s="0" t="n">
        <v>17.4</v>
      </c>
      <c r="J68" s="0" t="n">
        <v>3.4</v>
      </c>
      <c r="K68" s="0" t="n">
        <v>4</v>
      </c>
      <c r="L68" s="0" t="n">
        <v>1.044</v>
      </c>
      <c r="M68" s="0" t="n">
        <v>0.103</v>
      </c>
      <c r="N68" s="0" t="n">
        <v>0.24</v>
      </c>
      <c r="O68" s="8" t="n">
        <f aca="false">ROUND(I68+L68,2)</f>
        <v>18.44</v>
      </c>
      <c r="P68" s="8" t="n">
        <f aca="false">ROUND(J68+M68,2)</f>
        <v>3.5</v>
      </c>
      <c r="Q68" s="8" t="n">
        <f aca="false">ROUND(K68+N68,2)</f>
        <v>4.24</v>
      </c>
    </row>
    <row r="69" customFormat="false" ht="15" hidden="false" customHeight="false" outlineLevel="0" collapsed="false">
      <c r="A69" s="0" t="s">
        <v>304</v>
      </c>
      <c r="B69" s="0" t="s">
        <v>142</v>
      </c>
      <c r="C69" s="0" t="s">
        <v>142</v>
      </c>
      <c r="D69" s="0" t="s">
        <v>234</v>
      </c>
      <c r="E69" s="3" t="s">
        <v>208</v>
      </c>
      <c r="G69" s="8" t="s">
        <v>235</v>
      </c>
      <c r="H69" s="0" t="n">
        <v>33.2</v>
      </c>
      <c r="I69" s="0" t="n">
        <v>17.4</v>
      </c>
      <c r="J69" s="0" t="n">
        <v>5.2</v>
      </c>
      <c r="K69" s="0" t="n">
        <v>7.4</v>
      </c>
      <c r="L69" s="0" t="n">
        <v>0.316</v>
      </c>
      <c r="M69" s="0" t="n">
        <v>0.111</v>
      </c>
      <c r="N69" s="0" t="n">
        <v>0.033</v>
      </c>
      <c r="O69" s="8" t="n">
        <f aca="false">ROUND(I69+L69,2)</f>
        <v>17.72</v>
      </c>
      <c r="P69" s="8" t="n">
        <f aca="false">ROUND(J69+M69,2)</f>
        <v>5.31</v>
      </c>
      <c r="Q69" s="8" t="n">
        <f aca="false">ROUND(K69+N69,2)</f>
        <v>7.43</v>
      </c>
    </row>
    <row r="70" customFormat="false" ht="15" hidden="false" customHeight="false" outlineLevel="0" collapsed="false">
      <c r="A70" s="0" t="s">
        <v>305</v>
      </c>
      <c r="B70" s="0" t="s">
        <v>165</v>
      </c>
      <c r="C70" s="0" t="s">
        <v>83</v>
      </c>
      <c r="D70" s="0" t="s">
        <v>239</v>
      </c>
      <c r="E70" s="3" t="s">
        <v>210</v>
      </c>
      <c r="F70" s="8" t="s">
        <v>211</v>
      </c>
      <c r="G70" s="8" t="s">
        <v>235</v>
      </c>
      <c r="H70" s="0" t="n">
        <v>30.7</v>
      </c>
      <c r="I70" s="0" t="n">
        <v>17.3</v>
      </c>
      <c r="J70" s="0" t="n">
        <v>5.3</v>
      </c>
      <c r="K70" s="0" t="n">
        <v>3.6</v>
      </c>
      <c r="L70" s="0" t="n">
        <v>0</v>
      </c>
      <c r="M70" s="0" t="n">
        <v>0</v>
      </c>
      <c r="N70" s="0" t="n">
        <v>0</v>
      </c>
      <c r="O70" s="8" t="n">
        <f aca="false">ROUND(I70+L70,2)</f>
        <v>17.3</v>
      </c>
      <c r="P70" s="8" t="n">
        <f aca="false">ROUND(J70+M70,2)</f>
        <v>5.3</v>
      </c>
      <c r="Q70" s="8" t="n">
        <f aca="false">ROUND(K70+N70,2)</f>
        <v>3.6</v>
      </c>
    </row>
    <row r="71" customFormat="false" ht="15" hidden="false" customHeight="false" outlineLevel="0" collapsed="false">
      <c r="A71" s="0" t="s">
        <v>306</v>
      </c>
      <c r="B71" s="0" t="s">
        <v>142</v>
      </c>
      <c r="C71" s="0" t="s">
        <v>142</v>
      </c>
      <c r="D71" s="0" t="s">
        <v>234</v>
      </c>
      <c r="E71" s="3" t="s">
        <v>208</v>
      </c>
      <c r="G71" s="8" t="s">
        <v>235</v>
      </c>
      <c r="H71" s="0" t="n">
        <v>32.1</v>
      </c>
      <c r="I71" s="0" t="n">
        <v>17.3</v>
      </c>
      <c r="J71" s="0" t="n">
        <v>4.6</v>
      </c>
      <c r="K71" s="0" t="n">
        <v>5.6</v>
      </c>
      <c r="L71" s="0" t="n">
        <v>0.365</v>
      </c>
      <c r="M71" s="0" t="n">
        <v>0.114</v>
      </c>
      <c r="N71" s="0" t="n">
        <v>0.029</v>
      </c>
      <c r="O71" s="8" t="n">
        <f aca="false">ROUND(I71+L71,2)</f>
        <v>17.67</v>
      </c>
      <c r="P71" s="8" t="n">
        <f aca="false">ROUND(J71+M71,2)</f>
        <v>4.71</v>
      </c>
      <c r="Q71" s="8" t="n">
        <f aca="false">ROUND(K71+N71,2)</f>
        <v>5.63</v>
      </c>
    </row>
    <row r="72" customFormat="false" ht="15" hidden="false" customHeight="false" outlineLevel="0" collapsed="false">
      <c r="A72" s="0" t="s">
        <v>307</v>
      </c>
      <c r="B72" s="0" t="s">
        <v>91</v>
      </c>
      <c r="C72" s="0" t="s">
        <v>169</v>
      </c>
      <c r="D72" s="0" t="s">
        <v>239</v>
      </c>
      <c r="E72" s="3" t="s">
        <v>211</v>
      </c>
      <c r="F72" s="8" t="s">
        <v>210</v>
      </c>
      <c r="G72" s="8" t="s">
        <v>235</v>
      </c>
      <c r="H72" s="0" t="n">
        <v>31</v>
      </c>
      <c r="I72" s="0" t="n">
        <v>17.1</v>
      </c>
      <c r="J72" s="0" t="n">
        <v>5.8</v>
      </c>
      <c r="K72" s="0" t="n">
        <v>3.2</v>
      </c>
      <c r="L72" s="0" t="n">
        <v>0</v>
      </c>
      <c r="M72" s="0" t="n">
        <v>0</v>
      </c>
      <c r="N72" s="0" t="n">
        <v>0</v>
      </c>
      <c r="O72" s="8" t="n">
        <f aca="false">ROUND(I72+L72,2)</f>
        <v>17.1</v>
      </c>
      <c r="P72" s="8" t="n">
        <f aca="false">ROUND(J72+M72,2)</f>
        <v>5.8</v>
      </c>
      <c r="Q72" s="8" t="n">
        <f aca="false">ROUND(K72+N72,2)</f>
        <v>3.2</v>
      </c>
    </row>
    <row r="73" customFormat="false" ht="15" hidden="false" customHeight="false" outlineLevel="0" collapsed="false">
      <c r="A73" s="0" t="s">
        <v>308</v>
      </c>
      <c r="B73" s="0" t="s">
        <v>158</v>
      </c>
      <c r="C73" s="0" t="s">
        <v>158</v>
      </c>
      <c r="D73" s="0" t="s">
        <v>234</v>
      </c>
      <c r="E73" s="3" t="s">
        <v>212</v>
      </c>
      <c r="F73" s="8" t="s">
        <v>211</v>
      </c>
      <c r="G73" s="8" t="s">
        <v>235</v>
      </c>
      <c r="H73" s="0" t="n">
        <v>28.9</v>
      </c>
      <c r="I73" s="0" t="n">
        <v>17.1</v>
      </c>
      <c r="J73" s="0" t="n">
        <v>8.9</v>
      </c>
      <c r="K73" s="0" t="n">
        <v>1.7</v>
      </c>
      <c r="L73" s="0" t="n">
        <v>1.026</v>
      </c>
      <c r="M73" s="0" t="n">
        <v>0.496</v>
      </c>
      <c r="N73" s="0" t="n">
        <v>0.063</v>
      </c>
      <c r="O73" s="8" t="n">
        <f aca="false">ROUND(I73+L73,2)</f>
        <v>18.13</v>
      </c>
      <c r="P73" s="8" t="n">
        <f aca="false">ROUND(J73+M73,2)</f>
        <v>9.4</v>
      </c>
      <c r="Q73" s="8" t="n">
        <f aca="false">ROUND(K73+N73,2)</f>
        <v>1.76</v>
      </c>
    </row>
    <row r="74" customFormat="false" ht="15" hidden="false" customHeight="false" outlineLevel="0" collapsed="false">
      <c r="A74" s="0" t="s">
        <v>309</v>
      </c>
      <c r="B74" s="0" t="s">
        <v>158</v>
      </c>
      <c r="C74" s="0" t="s">
        <v>158</v>
      </c>
      <c r="D74" s="0" t="s">
        <v>234</v>
      </c>
      <c r="E74" s="3" t="s">
        <v>210</v>
      </c>
      <c r="F74" s="8" t="s">
        <v>209</v>
      </c>
      <c r="G74" s="8" t="s">
        <v>235</v>
      </c>
      <c r="H74" s="0" t="n">
        <v>28.4</v>
      </c>
      <c r="I74" s="0" t="n">
        <v>17.1</v>
      </c>
      <c r="J74" s="0" t="n">
        <v>4.6</v>
      </c>
      <c r="K74" s="0" t="n">
        <v>5.5</v>
      </c>
      <c r="L74" s="0" t="n">
        <v>1.026</v>
      </c>
      <c r="M74" s="0" t="n">
        <v>0.268</v>
      </c>
      <c r="N74" s="0" t="n">
        <v>0.213</v>
      </c>
      <c r="O74" s="8" t="n">
        <f aca="false">ROUND(I74+L74,2)</f>
        <v>18.13</v>
      </c>
      <c r="P74" s="8" t="n">
        <f aca="false">ROUND(J74+M74,2)</f>
        <v>4.87</v>
      </c>
      <c r="Q74" s="8" t="n">
        <f aca="false">ROUND(K74+N74,2)</f>
        <v>5.71</v>
      </c>
    </row>
    <row r="75" customFormat="false" ht="15" hidden="false" customHeight="false" outlineLevel="0" collapsed="false">
      <c r="A75" s="0" t="s">
        <v>310</v>
      </c>
      <c r="B75" s="0" t="s">
        <v>94</v>
      </c>
      <c r="C75" s="0" t="s">
        <v>94</v>
      </c>
      <c r="D75" s="0" t="s">
        <v>234</v>
      </c>
      <c r="E75" s="3" t="s">
        <v>208</v>
      </c>
      <c r="G75" s="8" t="s">
        <v>235</v>
      </c>
      <c r="H75" s="0" t="n">
        <v>32.1</v>
      </c>
      <c r="I75" s="0" t="n">
        <v>17</v>
      </c>
      <c r="J75" s="0" t="n">
        <v>8.3</v>
      </c>
      <c r="K75" s="0" t="n">
        <v>9.1</v>
      </c>
      <c r="L75" s="0" t="n">
        <v>1.02</v>
      </c>
      <c r="M75" s="0" t="n">
        <v>0.498</v>
      </c>
      <c r="N75" s="0" t="n">
        <v>0.546</v>
      </c>
      <c r="O75" s="8" t="n">
        <f aca="false">ROUND(I75+L75,2)</f>
        <v>18.02</v>
      </c>
      <c r="P75" s="8" t="n">
        <f aca="false">ROUND(J75+M75,2)</f>
        <v>8.8</v>
      </c>
      <c r="Q75" s="8" t="n">
        <f aca="false">ROUND(K75+N75,2)</f>
        <v>9.65</v>
      </c>
    </row>
    <row r="76" customFormat="false" ht="15" hidden="false" customHeight="false" outlineLevel="0" collapsed="false">
      <c r="A76" s="0" t="s">
        <v>311</v>
      </c>
      <c r="B76" s="0" t="s">
        <v>83</v>
      </c>
      <c r="C76" s="0" t="s">
        <v>83</v>
      </c>
      <c r="D76" s="0" t="s">
        <v>234</v>
      </c>
      <c r="E76" s="3" t="s">
        <v>208</v>
      </c>
      <c r="F76" s="8" t="s">
        <v>209</v>
      </c>
      <c r="G76" s="8" t="s">
        <v>235</v>
      </c>
      <c r="H76" s="0" t="n">
        <v>32.4</v>
      </c>
      <c r="I76" s="0" t="n">
        <v>17</v>
      </c>
      <c r="J76" s="0" t="n">
        <v>3.9</v>
      </c>
      <c r="K76" s="0" t="n">
        <v>5.2</v>
      </c>
      <c r="L76" s="0" t="n">
        <v>1.02</v>
      </c>
      <c r="M76" s="0" t="n">
        <v>0.113</v>
      </c>
      <c r="N76" s="0" t="n">
        <v>0.218</v>
      </c>
      <c r="O76" s="8" t="n">
        <f aca="false">ROUND(I76+L76,2)</f>
        <v>18.02</v>
      </c>
      <c r="P76" s="8" t="n">
        <f aca="false">ROUND(J76+M76,2)</f>
        <v>4.01</v>
      </c>
      <c r="Q76" s="8" t="n">
        <f aca="false">ROUND(K76+N76,2)</f>
        <v>5.42</v>
      </c>
    </row>
    <row r="77" customFormat="false" ht="15" hidden="false" customHeight="false" outlineLevel="0" collapsed="false">
      <c r="A77" s="0" t="s">
        <v>312</v>
      </c>
      <c r="B77" s="0" t="s">
        <v>122</v>
      </c>
      <c r="C77" s="0" t="s">
        <v>122</v>
      </c>
      <c r="D77" s="0" t="s">
        <v>234</v>
      </c>
      <c r="E77" s="3" t="s">
        <v>208</v>
      </c>
      <c r="G77" s="8" t="s">
        <v>235</v>
      </c>
      <c r="H77" s="0" t="n">
        <v>31.3</v>
      </c>
      <c r="I77" s="0" t="n">
        <v>16.9</v>
      </c>
      <c r="J77" s="0" t="n">
        <v>2.8</v>
      </c>
      <c r="K77" s="0" t="n">
        <v>7.7</v>
      </c>
      <c r="L77" s="0" t="n">
        <v>0.767</v>
      </c>
      <c r="M77" s="0" t="n">
        <v>0.151</v>
      </c>
      <c r="N77" s="0" t="n">
        <v>0.27</v>
      </c>
      <c r="O77" s="8" t="n">
        <f aca="false">ROUND(I77+L77,2)</f>
        <v>17.67</v>
      </c>
      <c r="P77" s="8" t="n">
        <f aca="false">ROUND(J77+M77,2)</f>
        <v>2.95</v>
      </c>
      <c r="Q77" s="8" t="n">
        <f aca="false">ROUND(K77+N77,2)</f>
        <v>7.97</v>
      </c>
    </row>
    <row r="78" customFormat="false" ht="15" hidden="false" customHeight="false" outlineLevel="0" collapsed="false">
      <c r="A78" s="0" t="s">
        <v>313</v>
      </c>
      <c r="B78" s="0" t="s">
        <v>114</v>
      </c>
      <c r="C78" s="0" t="s">
        <v>114</v>
      </c>
      <c r="D78" s="0" t="s">
        <v>243</v>
      </c>
      <c r="E78" s="3" t="s">
        <v>212</v>
      </c>
      <c r="F78" s="8" t="s">
        <v>211</v>
      </c>
      <c r="G78" s="8" t="s">
        <v>235</v>
      </c>
      <c r="H78" s="0" t="n">
        <v>24</v>
      </c>
      <c r="I78" s="0" t="n">
        <v>16.7</v>
      </c>
      <c r="J78" s="0" t="n">
        <v>5.2</v>
      </c>
      <c r="K78" s="0" t="n">
        <v>2.5</v>
      </c>
      <c r="L78" s="0" t="n">
        <v>0.633</v>
      </c>
      <c r="M78" s="0" t="n">
        <v>0.299</v>
      </c>
      <c r="N78" s="0" t="n">
        <v>0.07</v>
      </c>
      <c r="O78" s="8" t="n">
        <f aca="false">ROUND(I78+L78,2)</f>
        <v>17.33</v>
      </c>
      <c r="P78" s="8" t="n">
        <f aca="false">ROUND(J78+M78,2)</f>
        <v>5.5</v>
      </c>
      <c r="Q78" s="8" t="n">
        <f aca="false">ROUND(K78+N78,2)</f>
        <v>2.57</v>
      </c>
    </row>
    <row r="79" customFormat="false" ht="15" hidden="false" customHeight="false" outlineLevel="0" collapsed="false">
      <c r="A79" s="0" t="s">
        <v>314</v>
      </c>
      <c r="B79" s="0" t="s">
        <v>154</v>
      </c>
      <c r="C79" s="0" t="s">
        <v>154</v>
      </c>
      <c r="D79" s="0" t="s">
        <v>234</v>
      </c>
      <c r="E79" s="3" t="s">
        <v>210</v>
      </c>
      <c r="F79" s="8" t="s">
        <v>211</v>
      </c>
      <c r="G79" s="8" t="s">
        <v>235</v>
      </c>
      <c r="H79" s="0" t="n">
        <v>33.2</v>
      </c>
      <c r="I79" s="0" t="n">
        <v>16.7</v>
      </c>
      <c r="J79" s="0" t="n">
        <v>5.2</v>
      </c>
      <c r="K79" s="0" t="n">
        <v>2.2</v>
      </c>
      <c r="L79" s="0" t="n">
        <v>0.044</v>
      </c>
      <c r="M79" s="0" t="n">
        <v>0.087</v>
      </c>
      <c r="N79" s="0" t="n">
        <v>0.001</v>
      </c>
      <c r="O79" s="8" t="n">
        <f aca="false">ROUND(I79+L79,2)</f>
        <v>16.74</v>
      </c>
      <c r="P79" s="8" t="n">
        <f aca="false">ROUND(J79+M79,2)</f>
        <v>5.29</v>
      </c>
      <c r="Q79" s="8" t="n">
        <f aca="false">ROUND(K79+N79,2)</f>
        <v>2.2</v>
      </c>
    </row>
    <row r="80" customFormat="false" ht="15" hidden="false" customHeight="false" outlineLevel="0" collapsed="false">
      <c r="A80" s="0" t="s">
        <v>315</v>
      </c>
      <c r="B80" s="0" t="s">
        <v>180</v>
      </c>
      <c r="C80" s="0" t="s">
        <v>180</v>
      </c>
      <c r="D80" s="0" t="s">
        <v>234</v>
      </c>
      <c r="E80" s="3" t="s">
        <v>208</v>
      </c>
      <c r="F80" s="8" t="s">
        <v>209</v>
      </c>
      <c r="G80" s="8" t="s">
        <v>235</v>
      </c>
      <c r="H80" s="0" t="n">
        <v>30</v>
      </c>
      <c r="I80" s="0" t="n">
        <v>16.7</v>
      </c>
      <c r="J80" s="0" t="n">
        <v>5.3</v>
      </c>
      <c r="K80" s="0" t="n">
        <v>7.4</v>
      </c>
      <c r="L80" s="0" t="n">
        <v>-0.115</v>
      </c>
      <c r="M80" s="0" t="n">
        <v>-0.01</v>
      </c>
      <c r="N80" s="0" t="n">
        <v>-0.029</v>
      </c>
      <c r="O80" s="8" t="n">
        <f aca="false">ROUND(I80+L80,2)</f>
        <v>16.59</v>
      </c>
      <c r="P80" s="8" t="n">
        <f aca="false">ROUND(J80+M80,2)</f>
        <v>5.29</v>
      </c>
      <c r="Q80" s="8" t="n">
        <f aca="false">ROUND(K80+N80,2)</f>
        <v>7.37</v>
      </c>
    </row>
    <row r="81" customFormat="false" ht="15" hidden="false" customHeight="false" outlineLevel="0" collapsed="false">
      <c r="A81" s="0" t="s">
        <v>316</v>
      </c>
      <c r="B81" s="0" t="s">
        <v>150</v>
      </c>
      <c r="C81" s="0" t="s">
        <v>150</v>
      </c>
      <c r="D81" s="0" t="s">
        <v>234</v>
      </c>
      <c r="E81" s="3" t="s">
        <v>208</v>
      </c>
      <c r="G81" s="8" t="s">
        <v>235</v>
      </c>
      <c r="H81" s="0" t="n">
        <v>27.8</v>
      </c>
      <c r="I81" s="0" t="n">
        <v>16.7</v>
      </c>
      <c r="J81" s="0" t="n">
        <v>5.4</v>
      </c>
      <c r="K81" s="0" t="n">
        <v>6.4</v>
      </c>
      <c r="L81" s="0" t="n">
        <v>0.161</v>
      </c>
      <c r="M81" s="0" t="n">
        <v>0.14</v>
      </c>
      <c r="N81" s="0" t="n">
        <v>0.175</v>
      </c>
      <c r="O81" s="8" t="n">
        <f aca="false">ROUND(I81+L81,2)</f>
        <v>16.86</v>
      </c>
      <c r="P81" s="8" t="n">
        <f aca="false">ROUND(J81+M81,2)</f>
        <v>5.54</v>
      </c>
      <c r="Q81" s="8" t="n">
        <f aca="false">ROUND(K81+N81,2)</f>
        <v>6.58</v>
      </c>
    </row>
    <row r="82" customFormat="false" ht="15" hidden="false" customHeight="false" outlineLevel="0" collapsed="false">
      <c r="A82" s="0" t="s">
        <v>317</v>
      </c>
      <c r="B82" s="0" t="s">
        <v>169</v>
      </c>
      <c r="C82" s="0" t="s">
        <v>91</v>
      </c>
      <c r="D82" s="0" t="s">
        <v>239</v>
      </c>
      <c r="E82" s="3" t="s">
        <v>209</v>
      </c>
      <c r="G82" s="8" t="s">
        <v>235</v>
      </c>
      <c r="H82" s="0" t="n">
        <v>28.8</v>
      </c>
      <c r="I82" s="0" t="n">
        <v>16.5</v>
      </c>
      <c r="J82" s="0" t="n">
        <v>3</v>
      </c>
      <c r="K82" s="0" t="n">
        <v>3.8</v>
      </c>
      <c r="L82" s="0" t="n">
        <v>0</v>
      </c>
      <c r="M82" s="0" t="n">
        <v>0</v>
      </c>
      <c r="N82" s="0" t="n">
        <v>0</v>
      </c>
      <c r="O82" s="8" t="n">
        <f aca="false">ROUND(I82+L82,2)</f>
        <v>16.5</v>
      </c>
      <c r="P82" s="8" t="n">
        <f aca="false">ROUND(J82+M82,2)</f>
        <v>3</v>
      </c>
      <c r="Q82" s="8" t="n">
        <f aca="false">ROUND(K82+N82,2)</f>
        <v>3.8</v>
      </c>
    </row>
    <row r="83" customFormat="false" ht="15" hidden="false" customHeight="false" outlineLevel="0" collapsed="false">
      <c r="A83" s="0" t="s">
        <v>318</v>
      </c>
      <c r="B83" s="0" t="s">
        <v>83</v>
      </c>
      <c r="C83" s="0" t="s">
        <v>83</v>
      </c>
      <c r="D83" s="0" t="s">
        <v>234</v>
      </c>
      <c r="E83" s="3" t="s">
        <v>209</v>
      </c>
      <c r="F83" s="8" t="s">
        <v>208</v>
      </c>
      <c r="G83" s="8" t="s">
        <v>235</v>
      </c>
      <c r="H83" s="0" t="n">
        <v>34.1</v>
      </c>
      <c r="I83" s="0" t="n">
        <v>16.5</v>
      </c>
      <c r="J83" s="0" t="n">
        <v>4.4</v>
      </c>
      <c r="K83" s="0" t="n">
        <v>5.4</v>
      </c>
      <c r="L83" s="0" t="n">
        <v>0.84</v>
      </c>
      <c r="M83" s="0" t="n">
        <v>0.099</v>
      </c>
      <c r="N83" s="0" t="n">
        <v>0.175</v>
      </c>
      <c r="O83" s="8" t="n">
        <f aca="false">ROUND(I83+L83,2)</f>
        <v>17.34</v>
      </c>
      <c r="P83" s="8" t="n">
        <f aca="false">ROUND(J83+M83,2)</f>
        <v>4.5</v>
      </c>
      <c r="Q83" s="8" t="n">
        <f aca="false">ROUND(K83+N83,2)</f>
        <v>5.58</v>
      </c>
    </row>
    <row r="84" customFormat="false" ht="15" hidden="false" customHeight="false" outlineLevel="0" collapsed="false">
      <c r="A84" s="0" t="s">
        <v>319</v>
      </c>
      <c r="B84" s="0" t="s">
        <v>184</v>
      </c>
      <c r="C84" s="0" t="s">
        <v>184</v>
      </c>
      <c r="D84" s="0" t="s">
        <v>234</v>
      </c>
      <c r="E84" s="3" t="s">
        <v>208</v>
      </c>
      <c r="G84" s="8" t="s">
        <v>235</v>
      </c>
      <c r="H84" s="0" t="n">
        <v>31.9</v>
      </c>
      <c r="I84" s="0" t="n">
        <v>16.4</v>
      </c>
      <c r="J84" s="0" t="n">
        <v>4</v>
      </c>
      <c r="K84" s="0" t="n">
        <v>5.9</v>
      </c>
      <c r="L84" s="0" t="n">
        <v>0.887</v>
      </c>
      <c r="M84" s="0" t="n">
        <v>0.209</v>
      </c>
      <c r="N84" s="0" t="n">
        <v>0.148</v>
      </c>
      <c r="O84" s="8" t="n">
        <f aca="false">ROUND(I84+L84,2)</f>
        <v>17.29</v>
      </c>
      <c r="P84" s="8" t="n">
        <f aca="false">ROUND(J84+M84,2)</f>
        <v>4.21</v>
      </c>
      <c r="Q84" s="8" t="n">
        <f aca="false">ROUND(K84+N84,2)</f>
        <v>6.05</v>
      </c>
    </row>
    <row r="85" customFormat="false" ht="15" hidden="false" customHeight="false" outlineLevel="0" collapsed="false">
      <c r="A85" s="0" t="s">
        <v>320</v>
      </c>
      <c r="B85" s="0" t="s">
        <v>94</v>
      </c>
      <c r="C85" s="0" t="s">
        <v>94</v>
      </c>
      <c r="D85" s="0" t="s">
        <v>234</v>
      </c>
      <c r="E85" s="3" t="s">
        <v>211</v>
      </c>
      <c r="F85" s="8" t="s">
        <v>210</v>
      </c>
      <c r="G85" s="8" t="s">
        <v>235</v>
      </c>
      <c r="H85" s="0" t="n">
        <v>29.2</v>
      </c>
      <c r="I85" s="0" t="n">
        <v>16.3</v>
      </c>
      <c r="J85" s="0" t="n">
        <v>5.8</v>
      </c>
      <c r="K85" s="0" t="n">
        <v>2.1</v>
      </c>
      <c r="L85" s="0" t="n">
        <v>0.978</v>
      </c>
      <c r="M85" s="0" t="n">
        <v>0.348</v>
      </c>
      <c r="N85" s="0" t="n">
        <v>0.126</v>
      </c>
      <c r="O85" s="8" t="n">
        <f aca="false">ROUND(I85+L85,2)</f>
        <v>17.28</v>
      </c>
      <c r="P85" s="8" t="n">
        <f aca="false">ROUND(J85+M85,2)</f>
        <v>6.15</v>
      </c>
      <c r="Q85" s="8" t="n">
        <f aca="false">ROUND(K85+N85,2)</f>
        <v>2.23</v>
      </c>
    </row>
    <row r="86" customFormat="false" ht="15" hidden="false" customHeight="false" outlineLevel="0" collapsed="false">
      <c r="A86" s="0" t="s">
        <v>321</v>
      </c>
      <c r="B86" s="0" t="s">
        <v>173</v>
      </c>
      <c r="C86" s="0" t="s">
        <v>173</v>
      </c>
      <c r="D86" s="0" t="s">
        <v>234</v>
      </c>
      <c r="E86" s="3" t="s">
        <v>208</v>
      </c>
      <c r="G86" s="8" t="s">
        <v>235</v>
      </c>
      <c r="H86" s="0" t="n">
        <v>29.4</v>
      </c>
      <c r="I86" s="0" t="n">
        <v>16.3</v>
      </c>
      <c r="J86" s="0" t="n">
        <v>4.6</v>
      </c>
      <c r="K86" s="0" t="n">
        <v>6.1</v>
      </c>
      <c r="L86" s="0" t="n">
        <v>0.291</v>
      </c>
      <c r="M86" s="0" t="n">
        <v>0.056</v>
      </c>
      <c r="N86" s="0" t="n">
        <v>-0.074</v>
      </c>
      <c r="O86" s="8" t="n">
        <f aca="false">ROUND(I86+L86,2)</f>
        <v>16.59</v>
      </c>
      <c r="P86" s="8" t="n">
        <f aca="false">ROUND(J86+M86,2)</f>
        <v>4.66</v>
      </c>
      <c r="Q86" s="8" t="n">
        <f aca="false">ROUND(K86+N86,2)</f>
        <v>6.03</v>
      </c>
    </row>
    <row r="87" customFormat="false" ht="15" hidden="false" customHeight="false" outlineLevel="0" collapsed="false">
      <c r="A87" s="0" t="s">
        <v>322</v>
      </c>
      <c r="B87" s="0" t="s">
        <v>192</v>
      </c>
      <c r="C87" s="0" t="s">
        <v>192</v>
      </c>
      <c r="D87" s="0" t="s">
        <v>234</v>
      </c>
      <c r="E87" s="3" t="s">
        <v>212</v>
      </c>
      <c r="F87" s="8" t="s">
        <v>211</v>
      </c>
      <c r="G87" s="8" t="s">
        <v>235</v>
      </c>
      <c r="H87" s="0" t="n">
        <v>27.2</v>
      </c>
      <c r="I87" s="0" t="n">
        <v>16.3</v>
      </c>
      <c r="J87" s="0" t="n">
        <v>7.4</v>
      </c>
      <c r="K87" s="0" t="n">
        <v>2.7</v>
      </c>
      <c r="L87" s="0" t="n">
        <v>0.978</v>
      </c>
      <c r="M87" s="0" t="n">
        <v>0.28</v>
      </c>
      <c r="N87" s="0" t="n">
        <v>0.118</v>
      </c>
      <c r="O87" s="8" t="n">
        <f aca="false">ROUND(I87+L87,2)</f>
        <v>17.28</v>
      </c>
      <c r="P87" s="8" t="n">
        <f aca="false">ROUND(J87+M87,2)</f>
        <v>7.68</v>
      </c>
      <c r="Q87" s="8" t="n">
        <f aca="false">ROUND(K87+N87,2)</f>
        <v>2.82</v>
      </c>
    </row>
    <row r="88" customFormat="false" ht="15" hidden="false" customHeight="false" outlineLevel="0" collapsed="false">
      <c r="A88" s="0" t="s">
        <v>323</v>
      </c>
      <c r="B88" s="0" t="s">
        <v>134</v>
      </c>
      <c r="C88" s="0" t="s">
        <v>134</v>
      </c>
      <c r="D88" s="0" t="s">
        <v>234</v>
      </c>
      <c r="E88" s="3" t="s">
        <v>210</v>
      </c>
      <c r="F88" s="8" t="s">
        <v>209</v>
      </c>
      <c r="G88" s="8" t="s">
        <v>235</v>
      </c>
      <c r="H88" s="0" t="n">
        <v>30.5</v>
      </c>
      <c r="I88" s="0" t="n">
        <v>16.3</v>
      </c>
      <c r="J88" s="0" t="n">
        <v>4</v>
      </c>
      <c r="K88" s="0" t="n">
        <v>1.5</v>
      </c>
      <c r="L88" s="0" t="n">
        <v>0.849</v>
      </c>
      <c r="M88" s="0" t="n">
        <v>0.24</v>
      </c>
      <c r="N88" s="0" t="n">
        <v>0.09</v>
      </c>
      <c r="O88" s="8" t="n">
        <f aca="false">ROUND(I88+L88,2)</f>
        <v>17.15</v>
      </c>
      <c r="P88" s="8" t="n">
        <f aca="false">ROUND(J88+M88,2)</f>
        <v>4.24</v>
      </c>
      <c r="Q88" s="8" t="n">
        <f aca="false">ROUND(K88+N88,2)</f>
        <v>1.59</v>
      </c>
    </row>
    <row r="89" customFormat="false" ht="15" hidden="false" customHeight="false" outlineLevel="0" collapsed="false">
      <c r="A89" s="0" t="s">
        <v>324</v>
      </c>
      <c r="B89" s="0" t="s">
        <v>106</v>
      </c>
      <c r="C89" s="0" t="s">
        <v>106</v>
      </c>
      <c r="D89" s="0" t="s">
        <v>234</v>
      </c>
      <c r="E89" s="3" t="s">
        <v>211</v>
      </c>
      <c r="G89" s="8" t="s">
        <v>235</v>
      </c>
      <c r="H89" s="0" t="n">
        <v>27.9</v>
      </c>
      <c r="I89" s="0" t="n">
        <v>16.2</v>
      </c>
      <c r="J89" s="0" t="n">
        <v>5.8</v>
      </c>
      <c r="K89" s="0" t="n">
        <v>2.7</v>
      </c>
      <c r="L89" s="0" t="n">
        <v>0.21</v>
      </c>
      <c r="M89" s="0" t="n">
        <v>0.008</v>
      </c>
      <c r="N89" s="0" t="n">
        <v>-0.069</v>
      </c>
      <c r="O89" s="8" t="n">
        <f aca="false">ROUND(I89+L89,2)</f>
        <v>16.41</v>
      </c>
      <c r="P89" s="8" t="n">
        <f aca="false">ROUND(J89+M89,2)</f>
        <v>5.81</v>
      </c>
      <c r="Q89" s="8" t="n">
        <f aca="false">ROUND(K89+N89,2)</f>
        <v>2.63</v>
      </c>
    </row>
    <row r="90" customFormat="false" ht="15" hidden="false" customHeight="false" outlineLevel="0" collapsed="false">
      <c r="A90" s="0" t="s">
        <v>325</v>
      </c>
      <c r="B90" s="0" t="s">
        <v>165</v>
      </c>
      <c r="C90" s="0" t="s">
        <v>165</v>
      </c>
      <c r="D90" s="0" t="s">
        <v>234</v>
      </c>
      <c r="E90" s="3" t="s">
        <v>209</v>
      </c>
      <c r="G90" s="8" t="s">
        <v>235</v>
      </c>
      <c r="H90" s="0" t="n">
        <v>35</v>
      </c>
      <c r="I90" s="0" t="n">
        <v>16</v>
      </c>
      <c r="J90" s="0" t="n">
        <v>5.6</v>
      </c>
      <c r="K90" s="0" t="n">
        <v>4.2</v>
      </c>
      <c r="L90" s="0" t="n">
        <v>0.312</v>
      </c>
      <c r="M90" s="0" t="n">
        <v>0.236</v>
      </c>
      <c r="N90" s="0" t="n">
        <v>0.083</v>
      </c>
      <c r="O90" s="8" t="n">
        <f aca="false">ROUND(I90+L90,2)</f>
        <v>16.31</v>
      </c>
      <c r="P90" s="8" t="n">
        <f aca="false">ROUND(J90+M90,2)</f>
        <v>5.84</v>
      </c>
      <c r="Q90" s="8" t="n">
        <f aca="false">ROUND(K90+N90,2)</f>
        <v>4.28</v>
      </c>
    </row>
    <row r="91" customFormat="false" ht="15" hidden="false" customHeight="false" outlineLevel="0" collapsed="false">
      <c r="A91" s="0" t="s">
        <v>326</v>
      </c>
      <c r="B91" s="0" t="s">
        <v>177</v>
      </c>
      <c r="C91" s="0" t="s">
        <v>177</v>
      </c>
      <c r="D91" s="0" t="s">
        <v>234</v>
      </c>
      <c r="E91" s="3" t="s">
        <v>212</v>
      </c>
      <c r="F91" s="8" t="s">
        <v>211</v>
      </c>
      <c r="G91" s="8" t="s">
        <v>235</v>
      </c>
      <c r="H91" s="0" t="n">
        <v>29.7</v>
      </c>
      <c r="I91" s="0" t="n">
        <v>15.8</v>
      </c>
      <c r="J91" s="0" t="n">
        <v>11.4</v>
      </c>
      <c r="K91" s="0" t="n">
        <v>4.1</v>
      </c>
      <c r="L91" s="0" t="n">
        <v>0.892</v>
      </c>
      <c r="M91" s="0" t="n">
        <v>0.348</v>
      </c>
      <c r="N91" s="0" t="n">
        <v>0.246</v>
      </c>
      <c r="O91" s="8" t="n">
        <f aca="false">ROUND(I91+L91,2)</f>
        <v>16.69</v>
      </c>
      <c r="P91" s="8" t="n">
        <f aca="false">ROUND(J91+M91,2)</f>
        <v>11.75</v>
      </c>
      <c r="Q91" s="8" t="n">
        <f aca="false">ROUND(K91+N91,2)</f>
        <v>4.35</v>
      </c>
    </row>
    <row r="92" customFormat="false" ht="15" hidden="false" customHeight="false" outlineLevel="0" collapsed="false">
      <c r="A92" s="0" t="s">
        <v>327</v>
      </c>
      <c r="B92" s="0" t="s">
        <v>118</v>
      </c>
      <c r="C92" s="0" t="s">
        <v>118</v>
      </c>
      <c r="D92" s="0" t="s">
        <v>234</v>
      </c>
      <c r="E92" s="3" t="s">
        <v>211</v>
      </c>
      <c r="G92" s="8" t="s">
        <v>235</v>
      </c>
      <c r="H92" s="0" t="n">
        <v>35.1</v>
      </c>
      <c r="I92" s="0" t="n">
        <v>15.8</v>
      </c>
      <c r="J92" s="0" t="n">
        <v>6.9</v>
      </c>
      <c r="K92" s="0" t="n">
        <v>1.9</v>
      </c>
      <c r="L92" s="0" t="n">
        <v>-0.037</v>
      </c>
      <c r="M92" s="0" t="n">
        <v>0.029</v>
      </c>
      <c r="N92" s="0" t="n">
        <v>-0.015</v>
      </c>
      <c r="O92" s="8" t="n">
        <f aca="false">ROUND(I92+L92,2)</f>
        <v>15.76</v>
      </c>
      <c r="P92" s="8" t="n">
        <f aca="false">ROUND(J92+M92,2)</f>
        <v>6.93</v>
      </c>
      <c r="Q92" s="8" t="n">
        <f aca="false">ROUND(K92+N92,2)</f>
        <v>1.89</v>
      </c>
    </row>
    <row r="93" customFormat="false" ht="15" hidden="false" customHeight="false" outlineLevel="0" collapsed="false">
      <c r="A93" s="0" t="s">
        <v>328</v>
      </c>
      <c r="B93" s="0" t="s">
        <v>94</v>
      </c>
      <c r="C93" s="0" t="s">
        <v>130</v>
      </c>
      <c r="D93" s="0" t="s">
        <v>239</v>
      </c>
      <c r="E93" s="3" t="s">
        <v>209</v>
      </c>
      <c r="F93" s="8" t="s">
        <v>208</v>
      </c>
      <c r="G93" s="8" t="s">
        <v>235</v>
      </c>
      <c r="H93" s="0" t="n">
        <v>23.7</v>
      </c>
      <c r="I93" s="0" t="n">
        <v>15.4</v>
      </c>
      <c r="J93" s="0" t="n">
        <v>2.3</v>
      </c>
      <c r="K93" s="0" t="n">
        <v>3.3</v>
      </c>
      <c r="L93" s="0" t="n">
        <v>0</v>
      </c>
      <c r="M93" s="0" t="n">
        <v>0</v>
      </c>
      <c r="N93" s="0" t="n">
        <v>0</v>
      </c>
      <c r="O93" s="8" t="n">
        <f aca="false">ROUND(I93+L93,2)</f>
        <v>15.4</v>
      </c>
      <c r="P93" s="8" t="n">
        <f aca="false">ROUND(J93+M93,2)</f>
        <v>2.3</v>
      </c>
      <c r="Q93" s="8" t="n">
        <f aca="false">ROUND(K93+N93,2)</f>
        <v>3.3</v>
      </c>
    </row>
    <row r="94" customFormat="false" ht="15" hidden="false" customHeight="false" outlineLevel="0" collapsed="false">
      <c r="A94" s="0" t="s">
        <v>329</v>
      </c>
      <c r="B94" s="0" t="s">
        <v>98</v>
      </c>
      <c r="C94" s="0" t="s">
        <v>98</v>
      </c>
      <c r="D94" s="0" t="s">
        <v>234</v>
      </c>
      <c r="E94" s="3" t="s">
        <v>212</v>
      </c>
      <c r="G94" s="8" t="s">
        <v>235</v>
      </c>
      <c r="H94" s="0" t="n">
        <v>27.1</v>
      </c>
      <c r="I94" s="0" t="n">
        <v>15.4</v>
      </c>
      <c r="J94" s="0" t="n">
        <v>8.5</v>
      </c>
      <c r="K94" s="0" t="n">
        <v>1.8</v>
      </c>
      <c r="L94" s="0" t="n">
        <v>0.924</v>
      </c>
      <c r="M94" s="0" t="n">
        <v>0.51</v>
      </c>
      <c r="N94" s="0" t="n">
        <v>0.108</v>
      </c>
      <c r="O94" s="8" t="n">
        <f aca="false">ROUND(I94+L94,2)</f>
        <v>16.32</v>
      </c>
      <c r="P94" s="8" t="n">
        <f aca="false">ROUND(J94+M94,2)</f>
        <v>9.01</v>
      </c>
      <c r="Q94" s="8" t="n">
        <f aca="false">ROUND(K94+N94,2)</f>
        <v>1.91</v>
      </c>
    </row>
    <row r="95" customFormat="false" ht="15" hidden="false" customHeight="false" outlineLevel="0" collapsed="false">
      <c r="A95" s="0" t="s">
        <v>330</v>
      </c>
      <c r="B95" s="0" t="s">
        <v>138</v>
      </c>
      <c r="C95" s="0" t="s">
        <v>142</v>
      </c>
      <c r="D95" s="0" t="s">
        <v>239</v>
      </c>
      <c r="E95" s="3" t="s">
        <v>210</v>
      </c>
      <c r="F95" s="8" t="s">
        <v>209</v>
      </c>
      <c r="G95" s="8" t="s">
        <v>235</v>
      </c>
      <c r="H95" s="0" t="n">
        <v>28.3</v>
      </c>
      <c r="I95" s="0" t="n">
        <v>15.4</v>
      </c>
      <c r="J95" s="0" t="n">
        <v>5</v>
      </c>
      <c r="K95" s="0" t="n">
        <v>4.7</v>
      </c>
      <c r="L95" s="0" t="n">
        <v>0</v>
      </c>
      <c r="M95" s="0" t="n">
        <v>0</v>
      </c>
      <c r="N95" s="0" t="n">
        <v>0</v>
      </c>
      <c r="O95" s="8" t="n">
        <f aca="false">ROUND(I95+L95,2)</f>
        <v>15.4</v>
      </c>
      <c r="P95" s="8" t="n">
        <f aca="false">ROUND(J95+M95,2)</f>
        <v>5</v>
      </c>
      <c r="Q95" s="8" t="n">
        <f aca="false">ROUND(K95+N95,2)</f>
        <v>4.7</v>
      </c>
    </row>
    <row r="96" customFormat="false" ht="15" hidden="false" customHeight="false" outlineLevel="0" collapsed="false">
      <c r="A96" s="0" t="s">
        <v>331</v>
      </c>
      <c r="B96" s="0" t="s">
        <v>138</v>
      </c>
      <c r="C96" s="0" t="s">
        <v>138</v>
      </c>
      <c r="D96" s="0" t="s">
        <v>243</v>
      </c>
      <c r="E96" s="3" t="s">
        <v>210</v>
      </c>
      <c r="G96" s="8" t="s">
        <v>235</v>
      </c>
      <c r="H96" s="0" t="n">
        <v>30.3</v>
      </c>
      <c r="I96" s="0" t="n">
        <v>15.4</v>
      </c>
      <c r="J96" s="0" t="n">
        <v>4.8</v>
      </c>
      <c r="K96" s="0" t="n">
        <v>2.7</v>
      </c>
      <c r="L96" s="0" t="n">
        <v>0.924</v>
      </c>
      <c r="M96" s="0" t="n">
        <v>0.288</v>
      </c>
      <c r="N96" s="0" t="n">
        <v>0.162</v>
      </c>
      <c r="O96" s="8" t="n">
        <f aca="false">ROUND(I96+L96,2)</f>
        <v>16.32</v>
      </c>
      <c r="P96" s="8" t="n">
        <f aca="false">ROUND(J96+M96,2)</f>
        <v>5.09</v>
      </c>
      <c r="Q96" s="8" t="n">
        <f aca="false">ROUND(K96+N96,2)</f>
        <v>2.86</v>
      </c>
    </row>
    <row r="97" customFormat="false" ht="15" hidden="false" customHeight="false" outlineLevel="0" collapsed="false">
      <c r="A97" s="0" t="s">
        <v>332</v>
      </c>
      <c r="B97" s="0" t="s">
        <v>102</v>
      </c>
      <c r="C97" s="0" t="s">
        <v>102</v>
      </c>
      <c r="D97" s="0" t="s">
        <v>243</v>
      </c>
      <c r="E97" s="3" t="s">
        <v>210</v>
      </c>
      <c r="F97" s="8" t="s">
        <v>211</v>
      </c>
      <c r="G97" s="8" t="s">
        <v>235</v>
      </c>
      <c r="H97" s="0" t="n">
        <v>29.5</v>
      </c>
      <c r="I97" s="0" t="n">
        <v>15.2</v>
      </c>
      <c r="J97" s="0" t="n">
        <v>4.7</v>
      </c>
      <c r="K97" s="0" t="n">
        <v>3.3</v>
      </c>
      <c r="L97" s="0" t="n">
        <v>0.912</v>
      </c>
      <c r="M97" s="0" t="n">
        <v>0.221</v>
      </c>
      <c r="N97" s="0" t="n">
        <v>0.198</v>
      </c>
      <c r="O97" s="8" t="n">
        <f aca="false">ROUND(I97+L97,2)</f>
        <v>16.11</v>
      </c>
      <c r="P97" s="8" t="n">
        <f aca="false">ROUND(J97+M97,2)</f>
        <v>4.92</v>
      </c>
      <c r="Q97" s="8" t="n">
        <f aca="false">ROUND(K97+N97,2)</f>
        <v>3.5</v>
      </c>
    </row>
    <row r="98" customFormat="false" ht="15" hidden="false" customHeight="false" outlineLevel="0" collapsed="false">
      <c r="A98" s="0" t="s">
        <v>333</v>
      </c>
      <c r="B98" s="0" t="s">
        <v>79</v>
      </c>
      <c r="C98" s="0" t="s">
        <v>79</v>
      </c>
      <c r="D98" s="0" t="s">
        <v>234</v>
      </c>
      <c r="E98" s="3" t="s">
        <v>212</v>
      </c>
      <c r="G98" s="8" t="s">
        <v>235</v>
      </c>
      <c r="H98" s="0" t="n">
        <v>31</v>
      </c>
      <c r="I98" s="0" t="n">
        <v>15.2</v>
      </c>
      <c r="J98" s="0" t="n">
        <v>7.6</v>
      </c>
      <c r="K98" s="0" t="n">
        <v>3.1</v>
      </c>
      <c r="L98" s="0" t="n">
        <v>0.912</v>
      </c>
      <c r="M98" s="0" t="n">
        <v>0.316</v>
      </c>
      <c r="N98" s="0" t="n">
        <v>0.186</v>
      </c>
      <c r="O98" s="8" t="n">
        <f aca="false">ROUND(I98+L98,2)</f>
        <v>16.11</v>
      </c>
      <c r="P98" s="8" t="n">
        <f aca="false">ROUND(J98+M98,2)</f>
        <v>7.92</v>
      </c>
      <c r="Q98" s="8" t="n">
        <f aca="false">ROUND(K98+N98,2)</f>
        <v>3.29</v>
      </c>
    </row>
    <row r="99" customFormat="false" ht="15" hidden="false" customHeight="false" outlineLevel="0" collapsed="false">
      <c r="A99" s="0" t="s">
        <v>334</v>
      </c>
      <c r="B99" s="0" t="s">
        <v>177</v>
      </c>
      <c r="C99" s="0" t="s">
        <v>177</v>
      </c>
      <c r="D99" s="0" t="s">
        <v>234</v>
      </c>
      <c r="E99" s="3" t="s">
        <v>208</v>
      </c>
      <c r="G99" s="8" t="s">
        <v>235</v>
      </c>
      <c r="H99" s="0" t="n">
        <v>29</v>
      </c>
      <c r="I99" s="0" t="n">
        <v>15.2</v>
      </c>
      <c r="J99" s="0" t="n">
        <v>5.4</v>
      </c>
      <c r="K99" s="0" t="n">
        <v>6.7</v>
      </c>
      <c r="L99" s="0" t="n">
        <v>0.912</v>
      </c>
      <c r="M99" s="0" t="n">
        <v>0.176</v>
      </c>
      <c r="N99" s="0" t="n">
        <v>0.402</v>
      </c>
      <c r="O99" s="8" t="n">
        <f aca="false">ROUND(I99+L99,2)</f>
        <v>16.11</v>
      </c>
      <c r="P99" s="8" t="n">
        <f aca="false">ROUND(J99+M99,2)</f>
        <v>5.58</v>
      </c>
      <c r="Q99" s="8" t="n">
        <f aca="false">ROUND(K99+N99,2)</f>
        <v>7.1</v>
      </c>
    </row>
    <row r="100" customFormat="false" ht="15" hidden="false" customHeight="false" outlineLevel="0" collapsed="false">
      <c r="A100" s="0" t="s">
        <v>163</v>
      </c>
      <c r="B100" s="0" t="s">
        <v>83</v>
      </c>
      <c r="C100" s="0" t="s">
        <v>161</v>
      </c>
      <c r="D100" s="0" t="s">
        <v>239</v>
      </c>
      <c r="E100" s="3" t="s">
        <v>212</v>
      </c>
      <c r="G100" s="8" t="s">
        <v>235</v>
      </c>
      <c r="H100" s="0" t="n">
        <v>28.4</v>
      </c>
      <c r="I100" s="0" t="n">
        <v>15.1</v>
      </c>
      <c r="J100" s="0" t="n">
        <v>8.4</v>
      </c>
      <c r="K100" s="0" t="n">
        <v>3.3</v>
      </c>
      <c r="L100" s="0" t="n">
        <v>0</v>
      </c>
      <c r="M100" s="0" t="n">
        <v>0</v>
      </c>
      <c r="N100" s="0" t="n">
        <v>0</v>
      </c>
      <c r="O100" s="8" t="n">
        <f aca="false">ROUND(I100+L100,2)</f>
        <v>15.1</v>
      </c>
      <c r="P100" s="8" t="n">
        <f aca="false">ROUND(J100+M100,2)</f>
        <v>8.4</v>
      </c>
      <c r="Q100" s="8" t="n">
        <f aca="false">ROUND(K100+N100,2)</f>
        <v>3.3</v>
      </c>
    </row>
    <row r="101" customFormat="false" ht="15" hidden="false" customHeight="false" outlineLevel="0" collapsed="false">
      <c r="A101" s="0" t="s">
        <v>335</v>
      </c>
      <c r="B101" s="0" t="s">
        <v>161</v>
      </c>
      <c r="C101" s="0" t="s">
        <v>161</v>
      </c>
      <c r="D101" s="0" t="s">
        <v>234</v>
      </c>
      <c r="E101" s="3" t="s">
        <v>208</v>
      </c>
      <c r="F101" s="8" t="s">
        <v>209</v>
      </c>
      <c r="G101" s="8" t="s">
        <v>235</v>
      </c>
      <c r="H101" s="0" t="n">
        <v>29.8</v>
      </c>
      <c r="I101" s="0" t="n">
        <v>15</v>
      </c>
      <c r="J101" s="0" t="n">
        <v>3.8</v>
      </c>
      <c r="K101" s="0" t="n">
        <v>3.7</v>
      </c>
      <c r="L101" s="0" t="n">
        <v>0.02</v>
      </c>
      <c r="M101" s="0" t="n">
        <v>-0.011</v>
      </c>
      <c r="N101" s="0" t="n">
        <v>0.032</v>
      </c>
      <c r="O101" s="8" t="n">
        <f aca="false">ROUND(I101+L101,2)</f>
        <v>15.02</v>
      </c>
      <c r="P101" s="8" t="n">
        <f aca="false">ROUND(J101+M101,2)</f>
        <v>3.79</v>
      </c>
      <c r="Q101" s="8" t="n">
        <f aca="false">ROUND(K101+N101,2)</f>
        <v>3.73</v>
      </c>
    </row>
    <row r="102" customFormat="false" ht="15" hidden="false" customHeight="false" outlineLevel="0" collapsed="false">
      <c r="A102" s="0" t="s">
        <v>336</v>
      </c>
      <c r="B102" s="0" t="s">
        <v>188</v>
      </c>
      <c r="C102" s="0" t="s">
        <v>188</v>
      </c>
      <c r="D102" s="0" t="s">
        <v>234</v>
      </c>
      <c r="E102" s="3" t="s">
        <v>208</v>
      </c>
      <c r="G102" s="8" t="s">
        <v>235</v>
      </c>
      <c r="H102" s="0" t="n">
        <v>32.3</v>
      </c>
      <c r="I102" s="0" t="n">
        <v>15</v>
      </c>
      <c r="J102" s="0" t="n">
        <v>3.4</v>
      </c>
      <c r="K102" s="0" t="n">
        <v>6.7</v>
      </c>
      <c r="L102" s="0" t="n">
        <v>0.472</v>
      </c>
      <c r="M102" s="0" t="n">
        <v>0.14</v>
      </c>
      <c r="N102" s="0" t="n">
        <v>0.288</v>
      </c>
      <c r="O102" s="8" t="n">
        <f aca="false">ROUND(I102+L102,2)</f>
        <v>15.47</v>
      </c>
      <c r="P102" s="8" t="n">
        <f aca="false">ROUND(J102+M102,2)</f>
        <v>3.54</v>
      </c>
      <c r="Q102" s="8" t="n">
        <f aca="false">ROUND(K102+N102,2)</f>
        <v>6.99</v>
      </c>
    </row>
    <row r="103" customFormat="false" ht="15" hidden="false" customHeight="false" outlineLevel="0" collapsed="false">
      <c r="A103" s="0" t="s">
        <v>337</v>
      </c>
      <c r="B103" s="0" t="s">
        <v>188</v>
      </c>
      <c r="C103" s="0" t="s">
        <v>188</v>
      </c>
      <c r="D103" s="0" t="s">
        <v>234</v>
      </c>
      <c r="E103" s="3" t="s">
        <v>210</v>
      </c>
      <c r="G103" s="8" t="s">
        <v>235</v>
      </c>
      <c r="H103" s="0" t="n">
        <v>23.5</v>
      </c>
      <c r="I103" s="0" t="n">
        <v>14.9</v>
      </c>
      <c r="J103" s="0" t="n">
        <v>3.1</v>
      </c>
      <c r="K103" s="0" t="n">
        <v>1.9</v>
      </c>
      <c r="L103" s="0" t="n">
        <v>0.894</v>
      </c>
      <c r="M103" s="0" t="n">
        <v>0.186</v>
      </c>
      <c r="N103" s="0" t="n">
        <v>0.114</v>
      </c>
      <c r="O103" s="8" t="n">
        <f aca="false">ROUND(I103+L103,2)</f>
        <v>15.79</v>
      </c>
      <c r="P103" s="8" t="n">
        <f aca="false">ROUND(J103+M103,2)</f>
        <v>3.29</v>
      </c>
      <c r="Q103" s="8" t="n">
        <f aca="false">ROUND(K103+N103,2)</f>
        <v>2.01</v>
      </c>
    </row>
    <row r="104" customFormat="false" ht="15" hidden="false" customHeight="false" outlineLevel="0" collapsed="false">
      <c r="A104" s="0" t="s">
        <v>338</v>
      </c>
      <c r="B104" s="0" t="s">
        <v>146</v>
      </c>
      <c r="C104" s="0" t="s">
        <v>146</v>
      </c>
      <c r="D104" s="0" t="s">
        <v>243</v>
      </c>
      <c r="E104" s="3" t="s">
        <v>209</v>
      </c>
      <c r="F104" s="8" t="s">
        <v>208</v>
      </c>
      <c r="G104" s="8" t="s">
        <v>235</v>
      </c>
      <c r="H104" s="0" t="n">
        <v>27.3</v>
      </c>
      <c r="I104" s="0" t="n">
        <v>14.8</v>
      </c>
      <c r="J104" s="0" t="n">
        <v>3.4</v>
      </c>
      <c r="K104" s="0" t="n">
        <v>3.6</v>
      </c>
      <c r="L104" s="0" t="n">
        <v>0.717</v>
      </c>
      <c r="M104" s="0" t="n">
        <v>0.204</v>
      </c>
      <c r="N104" s="0" t="n">
        <v>0.216</v>
      </c>
      <c r="O104" s="8" t="n">
        <f aca="false">ROUND(I104+L104,2)</f>
        <v>15.52</v>
      </c>
      <c r="P104" s="8" t="n">
        <f aca="false">ROUND(J104+M104,2)</f>
        <v>3.6</v>
      </c>
      <c r="Q104" s="8" t="n">
        <f aca="false">ROUND(K104+N104,2)</f>
        <v>3.82</v>
      </c>
    </row>
    <row r="105" customFormat="false" ht="15" hidden="false" customHeight="false" outlineLevel="0" collapsed="false">
      <c r="A105" s="0" t="s">
        <v>339</v>
      </c>
      <c r="B105" s="0" t="s">
        <v>192</v>
      </c>
      <c r="C105" s="0" t="s">
        <v>192</v>
      </c>
      <c r="D105" s="0" t="s">
        <v>234</v>
      </c>
      <c r="E105" s="3" t="s">
        <v>210</v>
      </c>
      <c r="G105" s="8" t="s">
        <v>235</v>
      </c>
      <c r="H105" s="0" t="n">
        <v>29</v>
      </c>
      <c r="I105" s="0" t="n">
        <v>14.8</v>
      </c>
      <c r="J105" s="0" t="n">
        <v>5.1</v>
      </c>
      <c r="K105" s="0" t="n">
        <v>4.5</v>
      </c>
      <c r="L105" s="0" t="n">
        <v>0.843</v>
      </c>
      <c r="M105" s="0" t="n">
        <v>0.166</v>
      </c>
      <c r="N105" s="0" t="n">
        <v>0.169</v>
      </c>
      <c r="O105" s="8" t="n">
        <f aca="false">ROUND(I105+L105,2)</f>
        <v>15.64</v>
      </c>
      <c r="P105" s="8" t="n">
        <f aca="false">ROUND(J105+M105,2)</f>
        <v>5.27</v>
      </c>
      <c r="Q105" s="8" t="n">
        <f aca="false">ROUND(K105+N105,2)</f>
        <v>4.67</v>
      </c>
    </row>
    <row r="106" customFormat="false" ht="15" hidden="false" customHeight="false" outlineLevel="0" collapsed="false">
      <c r="A106" s="0" t="s">
        <v>340</v>
      </c>
      <c r="B106" s="0" t="s">
        <v>146</v>
      </c>
      <c r="C106" s="0" t="s">
        <v>146</v>
      </c>
      <c r="D106" s="0" t="s">
        <v>234</v>
      </c>
      <c r="E106" s="3" t="s">
        <v>211</v>
      </c>
      <c r="F106" s="8" t="s">
        <v>210</v>
      </c>
      <c r="G106" s="8" t="s">
        <v>235</v>
      </c>
      <c r="H106" s="0" t="n">
        <v>31.7</v>
      </c>
      <c r="I106" s="0" t="n">
        <v>14.8</v>
      </c>
      <c r="J106" s="0" t="n">
        <v>4.2</v>
      </c>
      <c r="K106" s="0" t="n">
        <v>2.7</v>
      </c>
      <c r="L106" s="0" t="n">
        <v>0.469</v>
      </c>
      <c r="M106" s="0" t="n">
        <v>0.244</v>
      </c>
      <c r="N106" s="0" t="n">
        <v>0.134</v>
      </c>
      <c r="O106" s="8" t="n">
        <f aca="false">ROUND(I106+L106,2)</f>
        <v>15.27</v>
      </c>
      <c r="P106" s="8" t="n">
        <f aca="false">ROUND(J106+M106,2)</f>
        <v>4.44</v>
      </c>
      <c r="Q106" s="8" t="n">
        <f aca="false">ROUND(K106+N106,2)</f>
        <v>2.83</v>
      </c>
    </row>
    <row r="107" customFormat="false" ht="15" hidden="false" customHeight="false" outlineLevel="0" collapsed="false">
      <c r="A107" s="0" t="s">
        <v>341</v>
      </c>
      <c r="B107" s="0" t="s">
        <v>106</v>
      </c>
      <c r="C107" s="0" t="s">
        <v>98</v>
      </c>
      <c r="D107" s="0" t="s">
        <v>239</v>
      </c>
      <c r="E107" s="3" t="s">
        <v>210</v>
      </c>
      <c r="F107" s="8" t="s">
        <v>211</v>
      </c>
      <c r="G107" s="8" t="s">
        <v>235</v>
      </c>
      <c r="H107" s="0" t="n">
        <v>29.6</v>
      </c>
      <c r="I107" s="0" t="n">
        <v>14.6</v>
      </c>
      <c r="J107" s="0" t="n">
        <v>4.9</v>
      </c>
      <c r="K107" s="0" t="n">
        <v>2.1</v>
      </c>
      <c r="L107" s="0" t="n">
        <v>0</v>
      </c>
      <c r="M107" s="0" t="n">
        <v>0</v>
      </c>
      <c r="N107" s="0" t="n">
        <v>0</v>
      </c>
      <c r="O107" s="8" t="n">
        <f aca="false">ROUND(I107+L107,2)</f>
        <v>14.6</v>
      </c>
      <c r="P107" s="8" t="n">
        <f aca="false">ROUND(J107+M107,2)</f>
        <v>4.9</v>
      </c>
      <c r="Q107" s="8" t="n">
        <f aca="false">ROUND(K107+N107,2)</f>
        <v>2.1</v>
      </c>
    </row>
    <row r="108" customFormat="false" ht="15" hidden="false" customHeight="false" outlineLevel="0" collapsed="false">
      <c r="A108" s="0" t="s">
        <v>342</v>
      </c>
      <c r="B108" s="0" t="s">
        <v>154</v>
      </c>
      <c r="C108" s="0" t="s">
        <v>154</v>
      </c>
      <c r="D108" s="0" t="s">
        <v>234</v>
      </c>
      <c r="E108" s="3" t="s">
        <v>210</v>
      </c>
      <c r="G108" s="8" t="s">
        <v>235</v>
      </c>
      <c r="H108" s="0" t="n">
        <v>32.8</v>
      </c>
      <c r="I108" s="0" t="n">
        <v>14.4</v>
      </c>
      <c r="J108" s="0" t="n">
        <v>3.8</v>
      </c>
      <c r="K108" s="0" t="n">
        <v>3.7</v>
      </c>
      <c r="L108" s="0" t="n">
        <v>0.04</v>
      </c>
      <c r="M108" s="0" t="n">
        <v>0.067</v>
      </c>
      <c r="N108" s="0" t="n">
        <v>0.003</v>
      </c>
      <c r="O108" s="8" t="n">
        <f aca="false">ROUND(I108+L108,2)</f>
        <v>14.44</v>
      </c>
      <c r="P108" s="8" t="n">
        <f aca="false">ROUND(J108+M108,2)</f>
        <v>3.87</v>
      </c>
      <c r="Q108" s="8" t="n">
        <f aca="false">ROUND(K108+N108,2)</f>
        <v>3.7</v>
      </c>
    </row>
    <row r="109" customFormat="false" ht="15" hidden="false" customHeight="false" outlineLevel="0" collapsed="false">
      <c r="A109" s="0" t="s">
        <v>343</v>
      </c>
      <c r="B109" s="0" t="s">
        <v>188</v>
      </c>
      <c r="C109" s="0" t="s">
        <v>130</v>
      </c>
      <c r="D109" s="0" t="s">
        <v>239</v>
      </c>
      <c r="E109" s="3" t="s">
        <v>212</v>
      </c>
      <c r="G109" s="8" t="s">
        <v>235</v>
      </c>
      <c r="H109" s="0" t="n">
        <v>30.8</v>
      </c>
      <c r="I109" s="0" t="n">
        <v>14.4</v>
      </c>
      <c r="J109" s="0" t="n">
        <v>10.8</v>
      </c>
      <c r="K109" s="0" t="n">
        <v>3</v>
      </c>
      <c r="L109" s="0" t="n">
        <v>0</v>
      </c>
      <c r="M109" s="0" t="n">
        <v>0</v>
      </c>
      <c r="N109" s="0" t="n">
        <v>0</v>
      </c>
      <c r="O109" s="8" t="n">
        <f aca="false">ROUND(I109+L109,2)</f>
        <v>14.4</v>
      </c>
      <c r="P109" s="8" t="n">
        <f aca="false">ROUND(J109+M109,2)</f>
        <v>10.8</v>
      </c>
      <c r="Q109" s="8" t="n">
        <f aca="false">ROUND(K109+N109,2)</f>
        <v>3</v>
      </c>
    </row>
    <row r="110" customFormat="false" ht="15" hidden="false" customHeight="false" outlineLevel="0" collapsed="false">
      <c r="A110" s="0" t="s">
        <v>344</v>
      </c>
      <c r="B110" s="0" t="s">
        <v>94</v>
      </c>
      <c r="C110" s="0" t="s">
        <v>165</v>
      </c>
      <c r="D110" s="0" t="s">
        <v>239</v>
      </c>
      <c r="E110" s="3" t="s">
        <v>209</v>
      </c>
      <c r="G110" s="8" t="s">
        <v>235</v>
      </c>
      <c r="H110" s="0" t="n">
        <v>24.9</v>
      </c>
      <c r="I110" s="0" t="n">
        <v>14.3</v>
      </c>
      <c r="J110" s="0" t="n">
        <v>2.5</v>
      </c>
      <c r="K110" s="0" t="n">
        <v>2.4</v>
      </c>
      <c r="L110" s="0" t="n">
        <v>0</v>
      </c>
      <c r="M110" s="0" t="n">
        <v>0</v>
      </c>
      <c r="N110" s="0" t="n">
        <v>0</v>
      </c>
      <c r="O110" s="8" t="n">
        <f aca="false">ROUND(I110+L110,2)</f>
        <v>14.3</v>
      </c>
      <c r="P110" s="8" t="n">
        <f aca="false">ROUND(J110+M110,2)</f>
        <v>2.5</v>
      </c>
      <c r="Q110" s="8" t="n">
        <f aca="false">ROUND(K110+N110,2)</f>
        <v>2.4</v>
      </c>
    </row>
    <row r="111" customFormat="false" ht="15" hidden="false" customHeight="false" outlineLevel="0" collapsed="false">
      <c r="A111" s="0" t="s">
        <v>345</v>
      </c>
      <c r="B111" s="0" t="s">
        <v>150</v>
      </c>
      <c r="C111" s="0" t="s">
        <v>150</v>
      </c>
      <c r="D111" s="0" t="s">
        <v>234</v>
      </c>
      <c r="E111" s="3" t="s">
        <v>208</v>
      </c>
      <c r="G111" s="8" t="s">
        <v>235</v>
      </c>
      <c r="H111" s="0" t="n">
        <v>25.8</v>
      </c>
      <c r="I111" s="0" t="n">
        <v>14.3</v>
      </c>
      <c r="J111" s="0" t="n">
        <v>3.7</v>
      </c>
      <c r="K111" s="0" t="n">
        <v>3.4</v>
      </c>
      <c r="L111" s="0" t="n">
        <v>0.161</v>
      </c>
      <c r="M111" s="0" t="n">
        <v>0.111</v>
      </c>
      <c r="N111" s="0" t="n">
        <v>0.108</v>
      </c>
      <c r="O111" s="8" t="n">
        <f aca="false">ROUND(I111+L111,2)</f>
        <v>14.46</v>
      </c>
      <c r="P111" s="8" t="n">
        <f aca="false">ROUND(J111+M111,2)</f>
        <v>3.81</v>
      </c>
      <c r="Q111" s="8" t="n">
        <f aca="false">ROUND(K111+N111,2)</f>
        <v>3.51</v>
      </c>
    </row>
    <row r="112" customFormat="false" ht="15" hidden="false" customHeight="false" outlineLevel="0" collapsed="false">
      <c r="A112" s="0" t="s">
        <v>346</v>
      </c>
      <c r="B112" s="0" t="s">
        <v>142</v>
      </c>
      <c r="C112" s="0" t="s">
        <v>142</v>
      </c>
      <c r="D112" s="0" t="s">
        <v>234</v>
      </c>
      <c r="E112" s="3" t="s">
        <v>209</v>
      </c>
      <c r="G112" s="8" t="s">
        <v>235</v>
      </c>
      <c r="H112" s="0" t="n">
        <v>24.6</v>
      </c>
      <c r="I112" s="0" t="n">
        <v>14.3</v>
      </c>
      <c r="J112" s="0" t="n">
        <v>2.5</v>
      </c>
      <c r="K112" s="0" t="n">
        <v>1.7</v>
      </c>
      <c r="L112" s="0" t="n">
        <v>0.589</v>
      </c>
      <c r="M112" s="0" t="n">
        <v>0.121</v>
      </c>
      <c r="N112" s="0" t="n">
        <v>0.017</v>
      </c>
      <c r="O112" s="8" t="n">
        <f aca="false">ROUND(I112+L112,2)</f>
        <v>14.89</v>
      </c>
      <c r="P112" s="8" t="n">
        <f aca="false">ROUND(J112+M112,2)</f>
        <v>2.62</v>
      </c>
      <c r="Q112" s="8" t="n">
        <f aca="false">ROUND(K112+N112,2)</f>
        <v>1.72</v>
      </c>
    </row>
    <row r="113" customFormat="false" ht="15" hidden="false" customHeight="false" outlineLevel="0" collapsed="false">
      <c r="A113" s="0" t="s">
        <v>347</v>
      </c>
      <c r="B113" s="0" t="s">
        <v>173</v>
      </c>
      <c r="C113" s="0" t="s">
        <v>173</v>
      </c>
      <c r="D113" s="0" t="s">
        <v>234</v>
      </c>
      <c r="E113" s="3" t="s">
        <v>208</v>
      </c>
      <c r="G113" s="8" t="s">
        <v>235</v>
      </c>
      <c r="H113" s="0" t="n">
        <v>24.9</v>
      </c>
      <c r="I113" s="0" t="n">
        <v>14.2</v>
      </c>
      <c r="J113" s="0" t="n">
        <v>2.7</v>
      </c>
      <c r="K113" s="0" t="n">
        <v>3.7</v>
      </c>
      <c r="L113" s="0" t="n">
        <v>0.361</v>
      </c>
      <c r="M113" s="0" t="n">
        <v>0.047</v>
      </c>
      <c r="N113" s="0" t="n">
        <v>-0.064</v>
      </c>
      <c r="O113" s="8" t="n">
        <f aca="false">ROUND(I113+L113,2)</f>
        <v>14.56</v>
      </c>
      <c r="P113" s="8" t="n">
        <f aca="false">ROUND(J113+M113,2)</f>
        <v>2.75</v>
      </c>
      <c r="Q113" s="8" t="n">
        <f aca="false">ROUND(K113+N113,2)</f>
        <v>3.64</v>
      </c>
    </row>
    <row r="114" customFormat="false" ht="15" hidden="false" customHeight="false" outlineLevel="0" collapsed="false">
      <c r="A114" s="0" t="s">
        <v>348</v>
      </c>
      <c r="B114" s="0" t="s">
        <v>102</v>
      </c>
      <c r="C114" s="0" t="s">
        <v>102</v>
      </c>
      <c r="D114" s="0" t="s">
        <v>234</v>
      </c>
      <c r="E114" s="3" t="s">
        <v>211</v>
      </c>
      <c r="G114" s="8" t="s">
        <v>235</v>
      </c>
      <c r="H114" s="0" t="n">
        <v>31</v>
      </c>
      <c r="I114" s="0" t="n">
        <v>14.2</v>
      </c>
      <c r="J114" s="0" t="n">
        <v>7</v>
      </c>
      <c r="K114" s="0" t="n">
        <v>1.8</v>
      </c>
      <c r="L114" s="0" t="n">
        <v>0.852</v>
      </c>
      <c r="M114" s="0" t="n">
        <v>0.282</v>
      </c>
      <c r="N114" s="0" t="n">
        <v>0.108</v>
      </c>
      <c r="O114" s="8" t="n">
        <f aca="false">ROUND(I114+L114,2)</f>
        <v>15.05</v>
      </c>
      <c r="P114" s="8" t="n">
        <f aca="false">ROUND(J114+M114,2)</f>
        <v>7.28</v>
      </c>
      <c r="Q114" s="8" t="n">
        <f aca="false">ROUND(K114+N114,2)</f>
        <v>1.91</v>
      </c>
    </row>
    <row r="115" customFormat="false" ht="15" hidden="false" customHeight="false" outlineLevel="0" collapsed="false">
      <c r="A115" s="0" t="s">
        <v>349</v>
      </c>
      <c r="B115" s="0" t="s">
        <v>122</v>
      </c>
      <c r="C115" s="0" t="s">
        <v>122</v>
      </c>
      <c r="D115" s="0" t="s">
        <v>234</v>
      </c>
      <c r="E115" s="3" t="s">
        <v>212</v>
      </c>
      <c r="G115" s="8" t="s">
        <v>235</v>
      </c>
      <c r="H115" s="0" t="n">
        <v>30.1</v>
      </c>
      <c r="I115" s="0" t="n">
        <v>14.1</v>
      </c>
      <c r="J115" s="0" t="n">
        <v>10.6</v>
      </c>
      <c r="K115" s="0" t="n">
        <v>2.2</v>
      </c>
      <c r="L115" s="0" t="n">
        <v>0.728</v>
      </c>
      <c r="M115" s="0" t="n">
        <v>0.636</v>
      </c>
      <c r="N115" s="0" t="n">
        <v>0.088</v>
      </c>
      <c r="O115" s="8" t="n">
        <f aca="false">ROUND(I115+L115,2)</f>
        <v>14.83</v>
      </c>
      <c r="P115" s="8" t="n">
        <f aca="false">ROUND(J115+M115,2)</f>
        <v>11.24</v>
      </c>
      <c r="Q115" s="8" t="n">
        <f aca="false">ROUND(K115+N115,2)</f>
        <v>2.29</v>
      </c>
    </row>
    <row r="116" customFormat="false" ht="15" hidden="false" customHeight="false" outlineLevel="0" collapsed="false">
      <c r="A116" s="0" t="s">
        <v>350</v>
      </c>
      <c r="B116" s="0" t="s">
        <v>94</v>
      </c>
      <c r="C116" s="0" t="s">
        <v>94</v>
      </c>
      <c r="D116" s="0" t="s">
        <v>234</v>
      </c>
      <c r="E116" s="3" t="s">
        <v>208</v>
      </c>
      <c r="G116" s="8" t="s">
        <v>235</v>
      </c>
      <c r="H116" s="0" t="n">
        <v>27</v>
      </c>
      <c r="I116" s="0" t="n">
        <v>14.1</v>
      </c>
      <c r="J116" s="0" t="n">
        <v>3.1</v>
      </c>
      <c r="K116" s="0" t="n">
        <v>5.4</v>
      </c>
      <c r="L116" s="0" t="n">
        <v>0.846</v>
      </c>
      <c r="M116" s="0" t="n">
        <v>0.186</v>
      </c>
      <c r="N116" s="0" t="n">
        <v>0.324</v>
      </c>
      <c r="O116" s="8" t="n">
        <f aca="false">ROUND(I116+L116,2)</f>
        <v>14.95</v>
      </c>
      <c r="P116" s="8" t="n">
        <f aca="false">ROUND(J116+M116,2)</f>
        <v>3.29</v>
      </c>
      <c r="Q116" s="8" t="n">
        <f aca="false">ROUND(K116+N116,2)</f>
        <v>5.72</v>
      </c>
    </row>
    <row r="117" customFormat="false" ht="15" hidden="false" customHeight="false" outlineLevel="0" collapsed="false">
      <c r="A117" s="0" t="s">
        <v>351</v>
      </c>
      <c r="B117" s="0" t="s">
        <v>165</v>
      </c>
      <c r="C117" s="0" t="s">
        <v>122</v>
      </c>
      <c r="D117" s="0" t="s">
        <v>239</v>
      </c>
      <c r="E117" s="3" t="s">
        <v>210</v>
      </c>
      <c r="G117" s="8" t="s">
        <v>235</v>
      </c>
      <c r="H117" s="0" t="n">
        <v>31.5</v>
      </c>
      <c r="I117" s="0" t="n">
        <v>14.1</v>
      </c>
      <c r="J117" s="0" t="n">
        <v>5</v>
      </c>
      <c r="K117" s="0" t="n">
        <v>1.6</v>
      </c>
      <c r="L117" s="0" t="n">
        <v>0</v>
      </c>
      <c r="M117" s="0" t="n">
        <v>0</v>
      </c>
      <c r="N117" s="0" t="n">
        <v>0</v>
      </c>
      <c r="O117" s="8" t="n">
        <f aca="false">ROUND(I117+L117,2)</f>
        <v>14.1</v>
      </c>
      <c r="P117" s="8" t="n">
        <f aca="false">ROUND(J117+M117,2)</f>
        <v>5</v>
      </c>
      <c r="Q117" s="8" t="n">
        <f aca="false">ROUND(K117+N117,2)</f>
        <v>1.6</v>
      </c>
    </row>
    <row r="118" customFormat="false" ht="15" hidden="false" customHeight="false" outlineLevel="0" collapsed="false">
      <c r="A118" s="0" t="s">
        <v>352</v>
      </c>
      <c r="B118" s="0" t="s">
        <v>134</v>
      </c>
      <c r="C118" s="0" t="s">
        <v>102</v>
      </c>
      <c r="D118" s="0" t="s">
        <v>239</v>
      </c>
      <c r="E118" s="3" t="s">
        <v>211</v>
      </c>
      <c r="F118" s="8" t="s">
        <v>212</v>
      </c>
      <c r="G118" s="8" t="s">
        <v>235</v>
      </c>
      <c r="H118" s="0" t="n">
        <v>27.9</v>
      </c>
      <c r="I118" s="0" t="n">
        <v>14</v>
      </c>
      <c r="J118" s="0" t="n">
        <v>6.7</v>
      </c>
      <c r="K118" s="0" t="n">
        <v>2.9</v>
      </c>
      <c r="L118" s="0" t="n">
        <v>0</v>
      </c>
      <c r="M118" s="0" t="n">
        <v>0</v>
      </c>
      <c r="N118" s="0" t="n">
        <v>0</v>
      </c>
      <c r="O118" s="8" t="n">
        <f aca="false">ROUND(I118+L118,2)</f>
        <v>14</v>
      </c>
      <c r="P118" s="8" t="n">
        <f aca="false">ROUND(J118+M118,2)</f>
        <v>6.7</v>
      </c>
      <c r="Q118" s="8" t="n">
        <f aca="false">ROUND(K118+N118,2)</f>
        <v>2.9</v>
      </c>
    </row>
    <row r="119" customFormat="false" ht="15" hidden="false" customHeight="false" outlineLevel="0" collapsed="false">
      <c r="A119" s="0" t="s">
        <v>353</v>
      </c>
      <c r="B119" s="0" t="s">
        <v>177</v>
      </c>
      <c r="C119" s="0" t="s">
        <v>177</v>
      </c>
      <c r="D119" s="0" t="s">
        <v>234</v>
      </c>
      <c r="E119" s="3" t="s">
        <v>211</v>
      </c>
      <c r="F119" s="8" t="s">
        <v>210</v>
      </c>
      <c r="G119" s="8" t="s">
        <v>235</v>
      </c>
      <c r="H119" s="0" t="n">
        <v>34.5</v>
      </c>
      <c r="I119" s="0" t="n">
        <v>14</v>
      </c>
      <c r="J119" s="0" t="n">
        <v>5.7</v>
      </c>
      <c r="K119" s="0" t="n">
        <v>1.7</v>
      </c>
      <c r="L119" s="0" t="n">
        <v>0.422</v>
      </c>
      <c r="M119" s="0" t="n">
        <v>0.093</v>
      </c>
      <c r="N119" s="0" t="n">
        <v>0.063</v>
      </c>
      <c r="O119" s="8" t="n">
        <f aca="false">ROUND(I119+L119,2)</f>
        <v>14.42</v>
      </c>
      <c r="P119" s="8" t="n">
        <f aca="false">ROUND(J119+M119,2)</f>
        <v>5.79</v>
      </c>
      <c r="Q119" s="8" t="n">
        <f aca="false">ROUND(K119+N119,2)</f>
        <v>1.76</v>
      </c>
    </row>
    <row r="120" customFormat="false" ht="15" hidden="false" customHeight="false" outlineLevel="0" collapsed="false">
      <c r="A120" s="0" t="s">
        <v>354</v>
      </c>
      <c r="B120" s="0" t="s">
        <v>180</v>
      </c>
      <c r="C120" s="0" t="s">
        <v>180</v>
      </c>
      <c r="D120" s="0" t="s">
        <v>234</v>
      </c>
      <c r="E120" s="3" t="s">
        <v>209</v>
      </c>
      <c r="F120" s="8" t="s">
        <v>210</v>
      </c>
      <c r="G120" s="8" t="s">
        <v>235</v>
      </c>
      <c r="H120" s="0" t="n">
        <v>30.5</v>
      </c>
      <c r="I120" s="0" t="n">
        <v>13.9</v>
      </c>
      <c r="J120" s="0" t="n">
        <v>4</v>
      </c>
      <c r="K120" s="0" t="n">
        <v>2.5</v>
      </c>
      <c r="L120" s="0" t="n">
        <v>-0.091</v>
      </c>
      <c r="M120" s="0" t="n">
        <v>-0.008</v>
      </c>
      <c r="N120" s="0" t="n">
        <v>-0.009</v>
      </c>
      <c r="O120" s="8" t="n">
        <f aca="false">ROUND(I120+L120,2)</f>
        <v>13.81</v>
      </c>
      <c r="P120" s="8" t="n">
        <f aca="false">ROUND(J120+M120,2)</f>
        <v>3.99</v>
      </c>
      <c r="Q120" s="8" t="n">
        <f aca="false">ROUND(K120+N120,2)</f>
        <v>2.49</v>
      </c>
    </row>
    <row r="121" customFormat="false" ht="15" hidden="false" customHeight="false" outlineLevel="0" collapsed="false">
      <c r="A121" s="0" t="s">
        <v>355</v>
      </c>
      <c r="B121" s="0" t="s">
        <v>188</v>
      </c>
      <c r="C121" s="0" t="s">
        <v>188</v>
      </c>
      <c r="D121" s="0" t="s">
        <v>234</v>
      </c>
      <c r="E121" s="3" t="s">
        <v>210</v>
      </c>
      <c r="G121" s="8" t="s">
        <v>235</v>
      </c>
      <c r="H121" s="0" t="n">
        <v>27.6</v>
      </c>
      <c r="I121" s="0" t="n">
        <v>13.8</v>
      </c>
      <c r="J121" s="0" t="n">
        <v>4.2</v>
      </c>
      <c r="K121" s="0" t="n">
        <v>1.8</v>
      </c>
      <c r="L121" s="0" t="n">
        <v>0.699</v>
      </c>
      <c r="M121" s="0" t="n">
        <v>0.252</v>
      </c>
      <c r="N121" s="0" t="n">
        <v>0.108</v>
      </c>
      <c r="O121" s="8" t="n">
        <f aca="false">ROUND(I121+L121,2)</f>
        <v>14.5</v>
      </c>
      <c r="P121" s="8" t="n">
        <f aca="false">ROUND(J121+M121,2)</f>
        <v>4.45</v>
      </c>
      <c r="Q121" s="8" t="n">
        <f aca="false">ROUND(K121+N121,2)</f>
        <v>1.91</v>
      </c>
    </row>
    <row r="122" customFormat="false" ht="15" hidden="false" customHeight="false" outlineLevel="0" collapsed="false">
      <c r="A122" s="0" t="s">
        <v>356</v>
      </c>
      <c r="B122" s="0" t="s">
        <v>122</v>
      </c>
      <c r="C122" s="0" t="s">
        <v>122</v>
      </c>
      <c r="D122" s="0" t="s">
        <v>234</v>
      </c>
      <c r="E122" s="3" t="s">
        <v>210</v>
      </c>
      <c r="G122" s="8" t="s">
        <v>235</v>
      </c>
      <c r="H122" s="0" t="n">
        <v>29.7</v>
      </c>
      <c r="I122" s="0" t="n">
        <v>13.8</v>
      </c>
      <c r="J122" s="0" t="n">
        <v>4.2</v>
      </c>
      <c r="K122" s="0" t="n">
        <v>1.9</v>
      </c>
      <c r="L122" s="0" t="n">
        <v>0.742</v>
      </c>
      <c r="M122" s="0" t="n">
        <v>0.252</v>
      </c>
      <c r="N122" s="0" t="n">
        <v>0.079</v>
      </c>
      <c r="O122" s="8" t="n">
        <f aca="false">ROUND(I122+L122,2)</f>
        <v>14.54</v>
      </c>
      <c r="P122" s="8" t="n">
        <f aca="false">ROUND(J122+M122,2)</f>
        <v>4.45</v>
      </c>
      <c r="Q122" s="8" t="n">
        <f aca="false">ROUND(K122+N122,2)</f>
        <v>1.98</v>
      </c>
    </row>
    <row r="123" customFormat="false" ht="15" hidden="false" customHeight="false" outlineLevel="0" collapsed="false">
      <c r="A123" s="0" t="s">
        <v>357</v>
      </c>
      <c r="B123" s="0" t="s">
        <v>114</v>
      </c>
      <c r="C123" s="0" t="s">
        <v>114</v>
      </c>
      <c r="D123" s="0" t="s">
        <v>234</v>
      </c>
      <c r="E123" s="3" t="s">
        <v>209</v>
      </c>
      <c r="F123" s="8" t="s">
        <v>208</v>
      </c>
      <c r="G123" s="8" t="s">
        <v>235</v>
      </c>
      <c r="H123" s="0" t="n">
        <v>28.5</v>
      </c>
      <c r="I123" s="0" t="n">
        <v>13.8</v>
      </c>
      <c r="J123" s="0" t="n">
        <v>5.1</v>
      </c>
      <c r="K123" s="0" t="n">
        <v>3.7</v>
      </c>
      <c r="L123" s="0" t="n">
        <v>0.376</v>
      </c>
      <c r="M123" s="0" t="n">
        <v>0.211</v>
      </c>
      <c r="N123" s="0" t="n">
        <v>0.074</v>
      </c>
      <c r="O123" s="8" t="n">
        <f aca="false">ROUND(I123+L123,2)</f>
        <v>14.18</v>
      </c>
      <c r="P123" s="8" t="n">
        <f aca="false">ROUND(J123+M123,2)</f>
        <v>5.31</v>
      </c>
      <c r="Q123" s="8" t="n">
        <f aca="false">ROUND(K123+N123,2)</f>
        <v>3.77</v>
      </c>
    </row>
    <row r="124" customFormat="false" ht="15" hidden="false" customHeight="false" outlineLevel="0" collapsed="false">
      <c r="A124" s="0" t="s">
        <v>358</v>
      </c>
      <c r="B124" s="0" t="s">
        <v>161</v>
      </c>
      <c r="C124" s="0" t="s">
        <v>161</v>
      </c>
      <c r="D124" s="0" t="s">
        <v>234</v>
      </c>
      <c r="E124" s="3" t="s">
        <v>209</v>
      </c>
      <c r="F124" s="8" t="s">
        <v>208</v>
      </c>
      <c r="G124" s="8" t="s">
        <v>235</v>
      </c>
      <c r="H124" s="0" t="n">
        <v>27.6</v>
      </c>
      <c r="I124" s="0" t="n">
        <v>13.8</v>
      </c>
      <c r="J124" s="0" t="n">
        <v>3.9</v>
      </c>
      <c r="K124" s="0" t="n">
        <v>5.5</v>
      </c>
      <c r="L124" s="0" t="n">
        <v>0.022</v>
      </c>
      <c r="M124" s="0" t="n">
        <v>-0.013</v>
      </c>
      <c r="N124" s="0" t="n">
        <v>0.059</v>
      </c>
      <c r="O124" s="8" t="n">
        <f aca="false">ROUND(I124+L124,2)</f>
        <v>13.82</v>
      </c>
      <c r="P124" s="8" t="n">
        <f aca="false">ROUND(J124+M124,2)</f>
        <v>3.89</v>
      </c>
      <c r="Q124" s="8" t="n">
        <f aca="false">ROUND(K124+N124,2)</f>
        <v>5.56</v>
      </c>
    </row>
    <row r="125" customFormat="false" ht="15" hidden="false" customHeight="false" outlineLevel="0" collapsed="false">
      <c r="A125" s="0" t="s">
        <v>359</v>
      </c>
      <c r="B125" s="0" t="s">
        <v>177</v>
      </c>
      <c r="C125" s="0" t="s">
        <v>177</v>
      </c>
      <c r="D125" s="0" t="s">
        <v>234</v>
      </c>
      <c r="E125" s="3" t="s">
        <v>210</v>
      </c>
      <c r="G125" s="8" t="s">
        <v>235</v>
      </c>
      <c r="H125" s="0" t="n">
        <v>26.1</v>
      </c>
      <c r="I125" s="0" t="n">
        <v>13.7</v>
      </c>
      <c r="J125" s="0" t="n">
        <v>4.1</v>
      </c>
      <c r="K125" s="0" t="n">
        <v>2</v>
      </c>
      <c r="L125" s="0" t="n">
        <v>0.822</v>
      </c>
      <c r="M125" s="0" t="n">
        <v>0.169</v>
      </c>
      <c r="N125" s="0" t="n">
        <v>0.12</v>
      </c>
      <c r="O125" s="8" t="n">
        <f aca="false">ROUND(I125+L125,2)</f>
        <v>14.52</v>
      </c>
      <c r="P125" s="8" t="n">
        <f aca="false">ROUND(J125+M125,2)</f>
        <v>4.27</v>
      </c>
      <c r="Q125" s="8" t="n">
        <f aca="false">ROUND(K125+N125,2)</f>
        <v>2.12</v>
      </c>
    </row>
    <row r="126" customFormat="false" ht="15" hidden="false" customHeight="false" outlineLevel="0" collapsed="false">
      <c r="A126" s="0" t="s">
        <v>360</v>
      </c>
      <c r="B126" s="0" t="s">
        <v>142</v>
      </c>
      <c r="C126" s="0" t="s">
        <v>138</v>
      </c>
      <c r="D126" s="0" t="s">
        <v>239</v>
      </c>
      <c r="E126" s="3" t="s">
        <v>211</v>
      </c>
      <c r="F126" s="8" t="s">
        <v>212</v>
      </c>
      <c r="G126" s="8" t="s">
        <v>235</v>
      </c>
      <c r="H126" s="0" t="n">
        <v>24.2</v>
      </c>
      <c r="I126" s="0" t="n">
        <v>13.7</v>
      </c>
      <c r="J126" s="0" t="n">
        <v>6.4</v>
      </c>
      <c r="K126" s="0" t="n">
        <v>1.6</v>
      </c>
      <c r="L126" s="0" t="n">
        <v>0</v>
      </c>
      <c r="M126" s="0" t="n">
        <v>0</v>
      </c>
      <c r="N126" s="0" t="n">
        <v>0</v>
      </c>
      <c r="O126" s="8" t="n">
        <f aca="false">ROUND(I126+L126,2)</f>
        <v>13.7</v>
      </c>
      <c r="P126" s="8" t="n">
        <f aca="false">ROUND(J126+M126,2)</f>
        <v>6.4</v>
      </c>
      <c r="Q126" s="8" t="n">
        <f aca="false">ROUND(K126+N126,2)</f>
        <v>1.6</v>
      </c>
    </row>
    <row r="127" customFormat="false" ht="15" hidden="false" customHeight="false" outlineLevel="0" collapsed="false">
      <c r="A127" s="0" t="s">
        <v>361</v>
      </c>
      <c r="B127" s="0" t="s">
        <v>126</v>
      </c>
      <c r="C127" s="0" t="s">
        <v>110</v>
      </c>
      <c r="D127" s="0" t="s">
        <v>239</v>
      </c>
      <c r="E127" s="3" t="s">
        <v>211</v>
      </c>
      <c r="G127" s="8" t="s">
        <v>235</v>
      </c>
      <c r="H127" s="0" t="n">
        <v>27.1</v>
      </c>
      <c r="I127" s="0" t="n">
        <v>13.6</v>
      </c>
      <c r="J127" s="0" t="n">
        <v>5.3</v>
      </c>
      <c r="K127" s="0" t="n">
        <v>1</v>
      </c>
      <c r="L127" s="0" t="n">
        <v>0</v>
      </c>
      <c r="M127" s="0" t="n">
        <v>0</v>
      </c>
      <c r="N127" s="0" t="n">
        <v>0</v>
      </c>
      <c r="O127" s="8" t="n">
        <f aca="false">ROUND(I127+L127,2)</f>
        <v>13.6</v>
      </c>
      <c r="P127" s="8" t="n">
        <f aca="false">ROUND(J127+M127,2)</f>
        <v>5.3</v>
      </c>
      <c r="Q127" s="8" t="n">
        <f aca="false">ROUND(K127+N127,2)</f>
        <v>1</v>
      </c>
    </row>
    <row r="128" customFormat="false" ht="15" hidden="false" customHeight="false" outlineLevel="0" collapsed="false">
      <c r="A128" s="0" t="s">
        <v>362</v>
      </c>
      <c r="B128" s="0" t="s">
        <v>134</v>
      </c>
      <c r="C128" s="0" t="s">
        <v>134</v>
      </c>
      <c r="D128" s="0" t="s">
        <v>234</v>
      </c>
      <c r="E128" s="3" t="s">
        <v>210</v>
      </c>
      <c r="G128" s="8" t="s">
        <v>235</v>
      </c>
      <c r="H128" s="0" t="n">
        <v>25.8</v>
      </c>
      <c r="I128" s="0" t="n">
        <v>13.6</v>
      </c>
      <c r="J128" s="0" t="n">
        <v>5.9</v>
      </c>
      <c r="K128" s="0" t="n">
        <v>2.8</v>
      </c>
      <c r="L128" s="0" t="n">
        <v>0.816</v>
      </c>
      <c r="M128" s="0" t="n">
        <v>0.354</v>
      </c>
      <c r="N128" s="0" t="n">
        <v>0.168</v>
      </c>
      <c r="O128" s="8" t="n">
        <f aca="false">ROUND(I128+L128,2)</f>
        <v>14.42</v>
      </c>
      <c r="P128" s="8" t="n">
        <f aca="false">ROUND(J128+M128,2)</f>
        <v>6.25</v>
      </c>
      <c r="Q128" s="8" t="n">
        <f aca="false">ROUND(K128+N128,2)</f>
        <v>2.97</v>
      </c>
    </row>
    <row r="129" customFormat="false" ht="15" hidden="false" customHeight="false" outlineLevel="0" collapsed="false">
      <c r="A129" s="0" t="s">
        <v>363</v>
      </c>
      <c r="B129" s="0" t="s">
        <v>134</v>
      </c>
      <c r="C129" s="0" t="s">
        <v>134</v>
      </c>
      <c r="D129" s="0" t="s">
        <v>234</v>
      </c>
      <c r="E129" s="3" t="s">
        <v>212</v>
      </c>
      <c r="G129" s="8" t="s">
        <v>235</v>
      </c>
      <c r="H129" s="0" t="n">
        <v>25.8</v>
      </c>
      <c r="I129" s="0" t="n">
        <v>13.6</v>
      </c>
      <c r="J129" s="0" t="n">
        <v>11.1</v>
      </c>
      <c r="K129" s="0" t="n">
        <v>1.1</v>
      </c>
      <c r="L129" s="0" t="n">
        <v>0.816</v>
      </c>
      <c r="M129" s="0" t="n">
        <v>0.666</v>
      </c>
      <c r="N129" s="0" t="n">
        <v>0.066</v>
      </c>
      <c r="O129" s="8" t="n">
        <f aca="false">ROUND(I129+L129,2)</f>
        <v>14.42</v>
      </c>
      <c r="P129" s="8" t="n">
        <f aca="false">ROUND(J129+M129,2)</f>
        <v>11.77</v>
      </c>
      <c r="Q129" s="8" t="n">
        <f aca="false">ROUND(K129+N129,2)</f>
        <v>1.17</v>
      </c>
    </row>
    <row r="130" customFormat="false" ht="15" hidden="false" customHeight="false" outlineLevel="0" collapsed="false">
      <c r="A130" s="0" t="s">
        <v>364</v>
      </c>
      <c r="B130" s="0" t="s">
        <v>158</v>
      </c>
      <c r="C130" s="0" t="s">
        <v>158</v>
      </c>
      <c r="D130" s="0" t="s">
        <v>234</v>
      </c>
      <c r="E130" s="3" t="s">
        <v>209</v>
      </c>
      <c r="F130" s="8" t="s">
        <v>208</v>
      </c>
      <c r="G130" s="8" t="s">
        <v>235</v>
      </c>
      <c r="H130" s="0" t="n">
        <v>25.8</v>
      </c>
      <c r="I130" s="0" t="n">
        <v>13.6</v>
      </c>
      <c r="J130" s="0" t="n">
        <v>3.3</v>
      </c>
      <c r="K130" s="0" t="n">
        <v>3.6</v>
      </c>
      <c r="L130" s="0" t="n">
        <v>0.816</v>
      </c>
      <c r="M130" s="0" t="n">
        <v>0.198</v>
      </c>
      <c r="N130" s="0" t="n">
        <v>0.17</v>
      </c>
      <c r="O130" s="8" t="n">
        <f aca="false">ROUND(I130+L130,2)</f>
        <v>14.42</v>
      </c>
      <c r="P130" s="8" t="n">
        <f aca="false">ROUND(J130+M130,2)</f>
        <v>3.5</v>
      </c>
      <c r="Q130" s="8" t="n">
        <f aca="false">ROUND(K130+N130,2)</f>
        <v>3.77</v>
      </c>
    </row>
    <row r="131" customFormat="false" ht="15" hidden="false" customHeight="false" outlineLevel="0" collapsed="false">
      <c r="A131" s="0" t="s">
        <v>365</v>
      </c>
      <c r="B131" s="0" t="s">
        <v>146</v>
      </c>
      <c r="C131" s="0" t="s">
        <v>91</v>
      </c>
      <c r="D131" s="0" t="s">
        <v>239</v>
      </c>
      <c r="E131" s="3" t="s">
        <v>212</v>
      </c>
      <c r="F131" s="8" t="s">
        <v>211</v>
      </c>
      <c r="G131" s="8" t="s">
        <v>235</v>
      </c>
      <c r="H131" s="0" t="n">
        <v>26.1</v>
      </c>
      <c r="I131" s="0" t="n">
        <v>13.6</v>
      </c>
      <c r="J131" s="0" t="n">
        <v>6.2</v>
      </c>
      <c r="K131" s="0" t="n">
        <v>2.2</v>
      </c>
      <c r="L131" s="0" t="n">
        <v>0</v>
      </c>
      <c r="M131" s="0" t="n">
        <v>0</v>
      </c>
      <c r="N131" s="0" t="n">
        <v>0</v>
      </c>
      <c r="O131" s="8" t="n">
        <f aca="false">ROUND(I131+L131,2)</f>
        <v>13.6</v>
      </c>
      <c r="P131" s="8" t="n">
        <f aca="false">ROUND(J131+M131,2)</f>
        <v>6.2</v>
      </c>
      <c r="Q131" s="8" t="n">
        <f aca="false">ROUND(K131+N131,2)</f>
        <v>2.2</v>
      </c>
    </row>
    <row r="132" customFormat="false" ht="15" hidden="false" customHeight="false" outlineLevel="0" collapsed="false">
      <c r="A132" s="0" t="s">
        <v>366</v>
      </c>
      <c r="B132" s="0" t="s">
        <v>142</v>
      </c>
      <c r="C132" s="0" t="s">
        <v>142</v>
      </c>
      <c r="D132" s="0" t="s">
        <v>234</v>
      </c>
      <c r="E132" s="3" t="s">
        <v>209</v>
      </c>
      <c r="G132" s="8" t="s">
        <v>235</v>
      </c>
      <c r="H132" s="0" t="n">
        <v>21</v>
      </c>
      <c r="I132" s="0" t="n">
        <v>13.5</v>
      </c>
      <c r="J132" s="0" t="n">
        <v>1.7</v>
      </c>
      <c r="K132" s="0" t="n">
        <v>2.6</v>
      </c>
      <c r="L132" s="0" t="n">
        <v>0.686</v>
      </c>
      <c r="M132" s="0" t="n">
        <v>0.101</v>
      </c>
      <c r="N132" s="0" t="n">
        <v>0.033</v>
      </c>
      <c r="O132" s="8" t="n">
        <f aca="false">ROUND(I132+L132,2)</f>
        <v>14.19</v>
      </c>
      <c r="P132" s="8" t="n">
        <f aca="false">ROUND(J132+M132,2)</f>
        <v>1.8</v>
      </c>
      <c r="Q132" s="8" t="n">
        <f aca="false">ROUND(K132+N132,2)</f>
        <v>2.63</v>
      </c>
    </row>
    <row r="133" customFormat="false" ht="15" hidden="false" customHeight="false" outlineLevel="0" collapsed="false">
      <c r="A133" s="0" t="s">
        <v>367</v>
      </c>
      <c r="B133" s="0" t="s">
        <v>106</v>
      </c>
      <c r="C133" s="0" t="s">
        <v>138</v>
      </c>
      <c r="D133" s="0" t="s">
        <v>239</v>
      </c>
      <c r="E133" s="3" t="s">
        <v>209</v>
      </c>
      <c r="G133" s="8" t="s">
        <v>235</v>
      </c>
      <c r="H133" s="0" t="n">
        <v>26.6</v>
      </c>
      <c r="I133" s="0" t="n">
        <v>13.5</v>
      </c>
      <c r="J133" s="0" t="n">
        <v>2.6</v>
      </c>
      <c r="K133" s="0" t="n">
        <v>1.4</v>
      </c>
      <c r="L133" s="0" t="n">
        <v>0</v>
      </c>
      <c r="M133" s="0" t="n">
        <v>0</v>
      </c>
      <c r="N133" s="0" t="n">
        <v>0</v>
      </c>
      <c r="O133" s="8" t="n">
        <f aca="false">ROUND(I133+L133,2)</f>
        <v>13.5</v>
      </c>
      <c r="P133" s="8" t="n">
        <f aca="false">ROUND(J133+M133,2)</f>
        <v>2.6</v>
      </c>
      <c r="Q133" s="8" t="n">
        <f aca="false">ROUND(K133+N133,2)</f>
        <v>1.4</v>
      </c>
    </row>
    <row r="134" customFormat="false" ht="15" hidden="false" customHeight="false" outlineLevel="0" collapsed="false">
      <c r="A134" s="0" t="s">
        <v>368</v>
      </c>
      <c r="B134" s="0" t="s">
        <v>118</v>
      </c>
      <c r="C134" s="0" t="s">
        <v>118</v>
      </c>
      <c r="D134" s="0" t="s">
        <v>234</v>
      </c>
      <c r="E134" s="3" t="s">
        <v>208</v>
      </c>
      <c r="F134" s="8" t="s">
        <v>209</v>
      </c>
      <c r="G134" s="8" t="s">
        <v>235</v>
      </c>
      <c r="H134" s="0" t="n">
        <v>26.2</v>
      </c>
      <c r="I134" s="0" t="n">
        <v>13.5</v>
      </c>
      <c r="J134" s="0" t="n">
        <v>2.9</v>
      </c>
      <c r="K134" s="0" t="n">
        <v>3.4</v>
      </c>
      <c r="L134" s="0" t="n">
        <v>-0.09</v>
      </c>
      <c r="M134" s="0" t="n">
        <v>0.034</v>
      </c>
      <c r="N134" s="0" t="n">
        <v>-0.077</v>
      </c>
      <c r="O134" s="8" t="n">
        <f aca="false">ROUND(I134+L134,2)</f>
        <v>13.41</v>
      </c>
      <c r="P134" s="8" t="n">
        <f aca="false">ROUND(J134+M134,2)</f>
        <v>2.93</v>
      </c>
      <c r="Q134" s="8" t="n">
        <f aca="false">ROUND(K134+N134,2)</f>
        <v>3.32</v>
      </c>
    </row>
    <row r="135" customFormat="false" ht="15" hidden="false" customHeight="false" outlineLevel="0" collapsed="false">
      <c r="A135" s="0" t="s">
        <v>369</v>
      </c>
      <c r="B135" s="0" t="s">
        <v>173</v>
      </c>
      <c r="C135" s="0" t="s">
        <v>173</v>
      </c>
      <c r="D135" s="0" t="s">
        <v>234</v>
      </c>
      <c r="E135" s="3" t="s">
        <v>210</v>
      </c>
      <c r="F135" s="8" t="s">
        <v>211</v>
      </c>
      <c r="G135" s="8" t="s">
        <v>235</v>
      </c>
      <c r="H135" s="0" t="n">
        <v>33.3</v>
      </c>
      <c r="I135" s="0" t="n">
        <v>13.4</v>
      </c>
      <c r="J135" s="0" t="n">
        <v>5.1</v>
      </c>
      <c r="K135" s="0" t="n">
        <v>2.5</v>
      </c>
      <c r="L135" s="0" t="n">
        <v>0.151</v>
      </c>
      <c r="M135" s="0" t="n">
        <v>0.04</v>
      </c>
      <c r="N135" s="0" t="n">
        <v>-0.019</v>
      </c>
      <c r="O135" s="8" t="n">
        <f aca="false">ROUND(I135+L135,2)</f>
        <v>13.55</v>
      </c>
      <c r="P135" s="8" t="n">
        <f aca="false">ROUND(J135+M135,2)</f>
        <v>5.14</v>
      </c>
      <c r="Q135" s="8" t="n">
        <f aca="false">ROUND(K135+N135,2)</f>
        <v>2.48</v>
      </c>
    </row>
    <row r="136" customFormat="false" ht="15" hidden="false" customHeight="false" outlineLevel="0" collapsed="false">
      <c r="A136" s="0" t="s">
        <v>370</v>
      </c>
      <c r="B136" s="0" t="s">
        <v>165</v>
      </c>
      <c r="C136" s="0" t="s">
        <v>130</v>
      </c>
      <c r="D136" s="0" t="s">
        <v>239</v>
      </c>
      <c r="E136" s="3" t="s">
        <v>209</v>
      </c>
      <c r="G136" s="8" t="s">
        <v>235</v>
      </c>
      <c r="H136" s="0" t="n">
        <v>29.4</v>
      </c>
      <c r="I136" s="0" t="n">
        <v>13.4</v>
      </c>
      <c r="J136" s="0" t="n">
        <v>3.6</v>
      </c>
      <c r="K136" s="0" t="n">
        <v>3.3</v>
      </c>
      <c r="L136" s="0" t="n">
        <v>0</v>
      </c>
      <c r="M136" s="0" t="n">
        <v>0</v>
      </c>
      <c r="N136" s="0" t="n">
        <v>0</v>
      </c>
      <c r="O136" s="8" t="n">
        <f aca="false">ROUND(I136+L136,2)</f>
        <v>13.4</v>
      </c>
      <c r="P136" s="8" t="n">
        <f aca="false">ROUND(J136+M136,2)</f>
        <v>3.6</v>
      </c>
      <c r="Q136" s="8" t="n">
        <f aca="false">ROUND(K136+N136,2)</f>
        <v>3.3</v>
      </c>
    </row>
    <row r="137" customFormat="false" ht="15" hidden="false" customHeight="false" outlineLevel="0" collapsed="false">
      <c r="A137" s="0" t="s">
        <v>371</v>
      </c>
      <c r="B137" s="0" t="s">
        <v>150</v>
      </c>
      <c r="C137" s="0" t="s">
        <v>150</v>
      </c>
      <c r="D137" s="0" t="s">
        <v>234</v>
      </c>
      <c r="E137" s="3" t="s">
        <v>209</v>
      </c>
      <c r="F137" s="8" t="s">
        <v>208</v>
      </c>
      <c r="G137" s="8" t="s">
        <v>235</v>
      </c>
      <c r="H137" s="0" t="n">
        <v>23.9</v>
      </c>
      <c r="I137" s="0" t="n">
        <v>13.4</v>
      </c>
      <c r="J137" s="0" t="n">
        <v>2</v>
      </c>
      <c r="K137" s="0" t="n">
        <v>3.1</v>
      </c>
      <c r="L137" s="0" t="n">
        <v>0.171</v>
      </c>
      <c r="M137" s="0" t="n">
        <v>0.068</v>
      </c>
      <c r="N137" s="0" t="n">
        <v>0.112</v>
      </c>
      <c r="O137" s="8" t="n">
        <f aca="false">ROUND(I137+L137,2)</f>
        <v>13.57</v>
      </c>
      <c r="P137" s="8" t="n">
        <f aca="false">ROUND(J137+M137,2)</f>
        <v>2.07</v>
      </c>
      <c r="Q137" s="8" t="n">
        <f aca="false">ROUND(K137+N137,2)</f>
        <v>3.21</v>
      </c>
    </row>
    <row r="138" customFormat="false" ht="15" hidden="false" customHeight="false" outlineLevel="0" collapsed="false">
      <c r="A138" s="0" t="s">
        <v>182</v>
      </c>
      <c r="B138" s="0" t="s">
        <v>110</v>
      </c>
      <c r="C138" s="0" t="s">
        <v>180</v>
      </c>
      <c r="D138" s="0" t="s">
        <v>239</v>
      </c>
      <c r="E138" s="3" t="s">
        <v>211</v>
      </c>
      <c r="G138" s="8" t="s">
        <v>235</v>
      </c>
      <c r="H138" s="0" t="n">
        <v>27.7</v>
      </c>
      <c r="I138" s="0" t="n">
        <v>13.3</v>
      </c>
      <c r="J138" s="0" t="n">
        <v>5.1</v>
      </c>
      <c r="K138" s="0" t="n">
        <v>2.5</v>
      </c>
      <c r="L138" s="0" t="n">
        <v>0</v>
      </c>
      <c r="M138" s="0" t="n">
        <v>0</v>
      </c>
      <c r="N138" s="0" t="n">
        <v>0</v>
      </c>
      <c r="O138" s="8" t="n">
        <f aca="false">ROUND(I138+L138,2)</f>
        <v>13.3</v>
      </c>
      <c r="P138" s="8" t="n">
        <f aca="false">ROUND(J138+M138,2)</f>
        <v>5.1</v>
      </c>
      <c r="Q138" s="8" t="n">
        <f aca="false">ROUND(K138+N138,2)</f>
        <v>2.5</v>
      </c>
    </row>
    <row r="139" customFormat="false" ht="15" hidden="false" customHeight="false" outlineLevel="0" collapsed="false">
      <c r="A139" s="0" t="s">
        <v>372</v>
      </c>
      <c r="B139" s="0" t="s">
        <v>180</v>
      </c>
      <c r="C139" s="0" t="s">
        <v>180</v>
      </c>
      <c r="D139" s="0" t="s">
        <v>234</v>
      </c>
      <c r="E139" s="3" t="s">
        <v>210</v>
      </c>
      <c r="G139" s="8" t="s">
        <v>235</v>
      </c>
      <c r="H139" s="0" t="n">
        <v>23.3</v>
      </c>
      <c r="I139" s="0" t="n">
        <v>13.2</v>
      </c>
      <c r="J139" s="0" t="n">
        <v>5.4</v>
      </c>
      <c r="K139" s="0" t="n">
        <v>1.4</v>
      </c>
      <c r="L139" s="0" t="n">
        <v>-0.152</v>
      </c>
      <c r="M139" s="0" t="n">
        <v>-0.018</v>
      </c>
      <c r="N139" s="0" t="n">
        <v>-0.009</v>
      </c>
      <c r="O139" s="8" t="n">
        <f aca="false">ROUND(I139+L139,2)</f>
        <v>13.05</v>
      </c>
      <c r="P139" s="8" t="n">
        <f aca="false">ROUND(J139+M139,2)</f>
        <v>5.38</v>
      </c>
      <c r="Q139" s="8" t="n">
        <f aca="false">ROUND(K139+N139,2)</f>
        <v>1.39</v>
      </c>
    </row>
    <row r="140" customFormat="false" ht="15" hidden="false" customHeight="false" outlineLevel="0" collapsed="false">
      <c r="A140" s="0" t="s">
        <v>373</v>
      </c>
      <c r="B140" s="0" t="s">
        <v>98</v>
      </c>
      <c r="C140" s="0" t="s">
        <v>98</v>
      </c>
      <c r="D140" s="0" t="s">
        <v>234</v>
      </c>
      <c r="E140" s="3" t="s">
        <v>210</v>
      </c>
      <c r="F140" s="8" t="s">
        <v>209</v>
      </c>
      <c r="G140" s="8" t="s">
        <v>235</v>
      </c>
      <c r="H140" s="0" t="n">
        <v>26.9</v>
      </c>
      <c r="I140" s="0" t="n">
        <v>13.2</v>
      </c>
      <c r="J140" s="0" t="n">
        <v>5.1</v>
      </c>
      <c r="K140" s="0" t="n">
        <v>2.2</v>
      </c>
      <c r="L140" s="0" t="n">
        <v>0.792</v>
      </c>
      <c r="M140" s="0" t="n">
        <v>0.306</v>
      </c>
      <c r="N140" s="0" t="n">
        <v>0.132</v>
      </c>
      <c r="O140" s="8" t="n">
        <f aca="false">ROUND(I140+L140,2)</f>
        <v>13.99</v>
      </c>
      <c r="P140" s="8" t="n">
        <f aca="false">ROUND(J140+M140,2)</f>
        <v>5.41</v>
      </c>
      <c r="Q140" s="8" t="n">
        <f aca="false">ROUND(K140+N140,2)</f>
        <v>2.33</v>
      </c>
    </row>
    <row r="141" customFormat="false" ht="15" hidden="false" customHeight="false" outlineLevel="0" collapsed="false">
      <c r="A141" s="0" t="s">
        <v>374</v>
      </c>
      <c r="B141" s="0" t="s">
        <v>142</v>
      </c>
      <c r="C141" s="0" t="s">
        <v>142</v>
      </c>
      <c r="D141" s="0" t="s">
        <v>234</v>
      </c>
      <c r="E141" s="3" t="s">
        <v>211</v>
      </c>
      <c r="G141" s="8" t="s">
        <v>235</v>
      </c>
      <c r="H141" s="0" t="n">
        <v>26.2</v>
      </c>
      <c r="I141" s="0" t="n">
        <v>13</v>
      </c>
      <c r="J141" s="0" t="n">
        <v>4.5</v>
      </c>
      <c r="K141" s="0" t="n">
        <v>2.7</v>
      </c>
      <c r="L141" s="0" t="n">
        <v>0.48</v>
      </c>
      <c r="M141" s="0" t="n">
        <v>0.195</v>
      </c>
      <c r="N141" s="0" t="n">
        <v>0.025</v>
      </c>
      <c r="O141" s="8" t="n">
        <f aca="false">ROUND(I141+L141,2)</f>
        <v>13.48</v>
      </c>
      <c r="P141" s="8" t="n">
        <f aca="false">ROUND(J141+M141,2)</f>
        <v>4.7</v>
      </c>
      <c r="Q141" s="8" t="n">
        <f aca="false">ROUND(K141+N141,2)</f>
        <v>2.73</v>
      </c>
    </row>
    <row r="142" customFormat="false" ht="15" hidden="false" customHeight="false" outlineLevel="0" collapsed="false">
      <c r="A142" s="0" t="s">
        <v>116</v>
      </c>
      <c r="B142" s="0" t="s">
        <v>102</v>
      </c>
      <c r="C142" s="0" t="s">
        <v>114</v>
      </c>
      <c r="D142" s="0" t="s">
        <v>239</v>
      </c>
      <c r="E142" s="3" t="s">
        <v>208</v>
      </c>
      <c r="G142" s="8" t="s">
        <v>235</v>
      </c>
      <c r="H142" s="0" t="n">
        <v>22.2</v>
      </c>
      <c r="I142" s="0" t="n">
        <v>13</v>
      </c>
      <c r="J142" s="0" t="n">
        <v>2.9</v>
      </c>
      <c r="K142" s="0" t="n">
        <v>3.9</v>
      </c>
      <c r="L142" s="0" t="n">
        <v>0</v>
      </c>
      <c r="M142" s="0" t="n">
        <v>0</v>
      </c>
      <c r="N142" s="0" t="n">
        <v>0</v>
      </c>
      <c r="O142" s="8" t="n">
        <f aca="false">ROUND(I142+L142,2)</f>
        <v>13</v>
      </c>
      <c r="P142" s="8" t="n">
        <f aca="false">ROUND(J142+M142,2)</f>
        <v>2.9</v>
      </c>
      <c r="Q142" s="8" t="n">
        <f aca="false">ROUND(K142+N142,2)</f>
        <v>3.9</v>
      </c>
    </row>
    <row r="143" customFormat="false" ht="15" hidden="false" customHeight="false" outlineLevel="0" collapsed="false">
      <c r="A143" s="0" t="s">
        <v>375</v>
      </c>
      <c r="B143" s="0" t="s">
        <v>98</v>
      </c>
      <c r="C143" s="0" t="s">
        <v>98</v>
      </c>
      <c r="D143" s="0" t="s">
        <v>234</v>
      </c>
      <c r="E143" s="3" t="s">
        <v>209</v>
      </c>
      <c r="G143" s="8" t="s">
        <v>235</v>
      </c>
      <c r="H143" s="0" t="n">
        <v>26.5</v>
      </c>
      <c r="I143" s="0" t="n">
        <v>12.8</v>
      </c>
      <c r="J143" s="0" t="n">
        <v>2.6</v>
      </c>
      <c r="K143" s="0" t="n">
        <v>2.4</v>
      </c>
      <c r="L143" s="0" t="n">
        <v>0.768</v>
      </c>
      <c r="M143" s="0" t="n">
        <v>0.156</v>
      </c>
      <c r="N143" s="0" t="n">
        <v>0.144</v>
      </c>
      <c r="O143" s="8" t="n">
        <f aca="false">ROUND(I143+L143,2)</f>
        <v>13.57</v>
      </c>
      <c r="P143" s="8" t="n">
        <f aca="false">ROUND(J143+M143,2)</f>
        <v>2.76</v>
      </c>
      <c r="Q143" s="8" t="n">
        <f aca="false">ROUND(K143+N143,2)</f>
        <v>2.54</v>
      </c>
    </row>
    <row r="144" customFormat="false" ht="15" hidden="false" customHeight="false" outlineLevel="0" collapsed="false">
      <c r="A144" s="0" t="s">
        <v>376</v>
      </c>
      <c r="B144" s="0" t="s">
        <v>169</v>
      </c>
      <c r="C144" s="0" t="s">
        <v>169</v>
      </c>
      <c r="D144" s="0" t="s">
        <v>243</v>
      </c>
      <c r="E144" s="3" t="s">
        <v>208</v>
      </c>
      <c r="G144" s="8" t="s">
        <v>235</v>
      </c>
      <c r="H144" s="0" t="n">
        <v>28.5</v>
      </c>
      <c r="I144" s="0" t="n">
        <v>12.7</v>
      </c>
      <c r="J144" s="0" t="n">
        <v>4.1</v>
      </c>
      <c r="K144" s="0" t="n">
        <v>4.6</v>
      </c>
      <c r="L144" s="0" t="n">
        <v>0.249</v>
      </c>
      <c r="M144" s="0" t="n">
        <v>0.053</v>
      </c>
      <c r="N144" s="0" t="n">
        <v>0.132</v>
      </c>
      <c r="O144" s="8" t="n">
        <f aca="false">ROUND(I144+L144,2)</f>
        <v>12.95</v>
      </c>
      <c r="P144" s="8" t="n">
        <f aca="false">ROUND(J144+M144,2)</f>
        <v>4.15</v>
      </c>
      <c r="Q144" s="8" t="n">
        <f aca="false">ROUND(K144+N144,2)</f>
        <v>4.73</v>
      </c>
    </row>
    <row r="145" customFormat="false" ht="15" hidden="false" customHeight="false" outlineLevel="0" collapsed="false">
      <c r="A145" s="0" t="s">
        <v>377</v>
      </c>
      <c r="B145" s="0" t="s">
        <v>130</v>
      </c>
      <c r="C145" s="0" t="s">
        <v>192</v>
      </c>
      <c r="D145" s="0" t="s">
        <v>239</v>
      </c>
      <c r="E145" s="3" t="s">
        <v>212</v>
      </c>
      <c r="G145" s="8" t="s">
        <v>235</v>
      </c>
      <c r="H145" s="0" t="n">
        <v>27.2</v>
      </c>
      <c r="I145" s="0" t="n">
        <v>12.5</v>
      </c>
      <c r="J145" s="0" t="n">
        <v>8</v>
      </c>
      <c r="K145" s="0" t="n">
        <v>0.8</v>
      </c>
      <c r="L145" s="0" t="n">
        <v>0</v>
      </c>
      <c r="M145" s="0" t="n">
        <v>0</v>
      </c>
      <c r="N145" s="0" t="n">
        <v>0</v>
      </c>
      <c r="O145" s="8" t="n">
        <f aca="false">ROUND(I145+L145,2)</f>
        <v>12.5</v>
      </c>
      <c r="P145" s="8" t="n">
        <f aca="false">ROUND(J145+M145,2)</f>
        <v>8</v>
      </c>
      <c r="Q145" s="8" t="n">
        <f aca="false">ROUND(K145+N145,2)</f>
        <v>0.8</v>
      </c>
    </row>
    <row r="146" customFormat="false" ht="15" hidden="false" customHeight="false" outlineLevel="0" collapsed="false">
      <c r="A146" s="0" t="s">
        <v>378</v>
      </c>
      <c r="B146" s="0" t="s">
        <v>134</v>
      </c>
      <c r="C146" s="0" t="s">
        <v>134</v>
      </c>
      <c r="D146" s="0" t="s">
        <v>234</v>
      </c>
      <c r="E146" s="3" t="s">
        <v>211</v>
      </c>
      <c r="G146" s="8" t="s">
        <v>235</v>
      </c>
      <c r="H146" s="0" t="n">
        <v>21.4</v>
      </c>
      <c r="I146" s="0" t="n">
        <v>12.5</v>
      </c>
      <c r="J146" s="0" t="n">
        <v>4.3</v>
      </c>
      <c r="K146" s="0" t="n">
        <v>1.5</v>
      </c>
      <c r="L146" s="0" t="n">
        <v>0.75</v>
      </c>
      <c r="M146" s="0" t="n">
        <v>0.258</v>
      </c>
      <c r="N146" s="0" t="n">
        <v>0.09</v>
      </c>
      <c r="O146" s="8" t="n">
        <f aca="false">ROUND(I146+L146,2)</f>
        <v>13.25</v>
      </c>
      <c r="P146" s="8" t="n">
        <f aca="false">ROUND(J146+M146,2)</f>
        <v>4.56</v>
      </c>
      <c r="Q146" s="8" t="n">
        <f aca="false">ROUND(K146+N146,2)</f>
        <v>1.59</v>
      </c>
    </row>
    <row r="147" customFormat="false" ht="15" hidden="false" customHeight="false" outlineLevel="0" collapsed="false">
      <c r="A147" s="0" t="s">
        <v>379</v>
      </c>
      <c r="B147" s="0" t="s">
        <v>177</v>
      </c>
      <c r="C147" s="0" t="s">
        <v>177</v>
      </c>
      <c r="D147" s="0" t="s">
        <v>234</v>
      </c>
      <c r="E147" s="3" t="s">
        <v>209</v>
      </c>
      <c r="F147" s="8" t="s">
        <v>208</v>
      </c>
      <c r="G147" s="8" t="s">
        <v>235</v>
      </c>
      <c r="H147" s="0" t="n">
        <v>22</v>
      </c>
      <c r="I147" s="0" t="n">
        <v>12.5</v>
      </c>
      <c r="J147" s="0" t="n">
        <v>1.9</v>
      </c>
      <c r="K147" s="0" t="n">
        <v>3</v>
      </c>
      <c r="L147" s="0" t="n">
        <v>0.75</v>
      </c>
      <c r="M147" s="0" t="n">
        <v>0.101</v>
      </c>
      <c r="N147" s="0" t="n">
        <v>0.18</v>
      </c>
      <c r="O147" s="8" t="n">
        <f aca="false">ROUND(I147+L147,2)</f>
        <v>13.25</v>
      </c>
      <c r="P147" s="8" t="n">
        <f aca="false">ROUND(J147+M147,2)</f>
        <v>2</v>
      </c>
      <c r="Q147" s="8" t="n">
        <f aca="false">ROUND(K147+N147,2)</f>
        <v>3.18</v>
      </c>
    </row>
    <row r="148" customFormat="false" ht="15" hidden="false" customHeight="false" outlineLevel="0" collapsed="false">
      <c r="A148" s="0" t="s">
        <v>380</v>
      </c>
      <c r="B148" s="0" t="s">
        <v>177</v>
      </c>
      <c r="C148" s="0" t="s">
        <v>177</v>
      </c>
      <c r="D148" s="0" t="s">
        <v>234</v>
      </c>
      <c r="E148" s="3" t="s">
        <v>212</v>
      </c>
      <c r="G148" s="8" t="s">
        <v>235</v>
      </c>
      <c r="H148" s="0" t="n">
        <v>26.5</v>
      </c>
      <c r="I148" s="0" t="n">
        <v>12.5</v>
      </c>
      <c r="J148" s="0" t="n">
        <v>7.5</v>
      </c>
      <c r="K148" s="0" t="n">
        <v>1.4</v>
      </c>
      <c r="L148" s="0" t="n">
        <v>0.75</v>
      </c>
      <c r="M148" s="0" t="n">
        <v>0.3</v>
      </c>
      <c r="N148" s="0" t="n">
        <v>0.084</v>
      </c>
      <c r="O148" s="8" t="n">
        <f aca="false">ROUND(I148+L148,2)</f>
        <v>13.25</v>
      </c>
      <c r="P148" s="8" t="n">
        <f aca="false">ROUND(J148+M148,2)</f>
        <v>7.8</v>
      </c>
      <c r="Q148" s="8" t="n">
        <f aca="false">ROUND(K148+N148,2)</f>
        <v>1.48</v>
      </c>
    </row>
    <row r="149" customFormat="false" ht="15" hidden="false" customHeight="false" outlineLevel="0" collapsed="false">
      <c r="A149" s="0" t="s">
        <v>381</v>
      </c>
      <c r="B149" s="0" t="s">
        <v>134</v>
      </c>
      <c r="C149" s="0" t="s">
        <v>134</v>
      </c>
      <c r="D149" s="0" t="s">
        <v>234</v>
      </c>
      <c r="E149" s="3" t="s">
        <v>210</v>
      </c>
      <c r="G149" s="8" t="s">
        <v>235</v>
      </c>
      <c r="H149" s="0" t="n">
        <v>26.4</v>
      </c>
      <c r="I149" s="0" t="n">
        <v>12.5</v>
      </c>
      <c r="J149" s="0" t="n">
        <v>3.2</v>
      </c>
      <c r="K149" s="0" t="n">
        <v>1.6</v>
      </c>
      <c r="L149" s="0" t="n">
        <v>0.75</v>
      </c>
      <c r="M149" s="0" t="n">
        <v>0.192</v>
      </c>
      <c r="N149" s="0" t="n">
        <v>0.096</v>
      </c>
      <c r="O149" s="8" t="n">
        <f aca="false">ROUND(I149+L149,2)</f>
        <v>13.25</v>
      </c>
      <c r="P149" s="8" t="n">
        <f aca="false">ROUND(J149+M149,2)</f>
        <v>3.39</v>
      </c>
      <c r="Q149" s="8" t="n">
        <f aca="false">ROUND(K149+N149,2)</f>
        <v>1.7</v>
      </c>
    </row>
    <row r="150" customFormat="false" ht="15" hidden="false" customHeight="false" outlineLevel="0" collapsed="false">
      <c r="A150" s="0" t="s">
        <v>382</v>
      </c>
      <c r="B150" s="0" t="s">
        <v>102</v>
      </c>
      <c r="C150" s="0" t="s">
        <v>102</v>
      </c>
      <c r="D150" s="0" t="s">
        <v>234</v>
      </c>
      <c r="E150" s="3" t="s">
        <v>209</v>
      </c>
      <c r="G150" s="8" t="s">
        <v>235</v>
      </c>
      <c r="H150" s="0" t="n">
        <v>29.1</v>
      </c>
      <c r="I150" s="0" t="n">
        <v>12.3</v>
      </c>
      <c r="J150" s="0" t="n">
        <v>3.2</v>
      </c>
      <c r="K150" s="0" t="n">
        <v>2</v>
      </c>
      <c r="L150" s="0" t="n">
        <v>0.738</v>
      </c>
      <c r="M150" s="0" t="n">
        <v>0.156</v>
      </c>
      <c r="N150" s="0" t="n">
        <v>0.12</v>
      </c>
      <c r="O150" s="8" t="n">
        <f aca="false">ROUND(I150+L150,2)</f>
        <v>13.04</v>
      </c>
      <c r="P150" s="8" t="n">
        <f aca="false">ROUND(J150+M150,2)</f>
        <v>3.36</v>
      </c>
      <c r="Q150" s="8" t="n">
        <f aca="false">ROUND(K150+N150,2)</f>
        <v>2.12</v>
      </c>
    </row>
    <row r="151" customFormat="false" ht="15" hidden="false" customHeight="false" outlineLevel="0" collapsed="false">
      <c r="A151" s="0" t="s">
        <v>383</v>
      </c>
      <c r="B151" s="0" t="s">
        <v>87</v>
      </c>
      <c r="C151" s="0" t="s">
        <v>87</v>
      </c>
      <c r="D151" s="0" t="s">
        <v>234</v>
      </c>
      <c r="E151" s="3" t="s">
        <v>211</v>
      </c>
      <c r="G151" s="8" t="s">
        <v>235</v>
      </c>
      <c r="H151" s="0" t="n">
        <v>27</v>
      </c>
      <c r="I151" s="0" t="n">
        <v>12.3</v>
      </c>
      <c r="J151" s="0" t="n">
        <v>4.1</v>
      </c>
      <c r="K151" s="0" t="n">
        <v>1.6</v>
      </c>
      <c r="L151" s="0" t="n">
        <v>0.451</v>
      </c>
      <c r="M151" s="0" t="n">
        <v>0.108</v>
      </c>
      <c r="N151" s="0" t="n">
        <v>0.057</v>
      </c>
      <c r="O151" s="8" t="n">
        <f aca="false">ROUND(I151+L151,2)</f>
        <v>12.75</v>
      </c>
      <c r="P151" s="8" t="n">
        <f aca="false">ROUND(J151+M151,2)</f>
        <v>4.21</v>
      </c>
      <c r="Q151" s="8" t="n">
        <f aca="false">ROUND(K151+N151,2)</f>
        <v>1.66</v>
      </c>
    </row>
    <row r="152" customFormat="false" ht="15" hidden="false" customHeight="false" outlineLevel="0" collapsed="false">
      <c r="A152" s="0" t="s">
        <v>384</v>
      </c>
      <c r="B152" s="0" t="s">
        <v>114</v>
      </c>
      <c r="C152" s="0" t="s">
        <v>114</v>
      </c>
      <c r="D152" s="0" t="s">
        <v>243</v>
      </c>
      <c r="E152" s="3" t="s">
        <v>209</v>
      </c>
      <c r="F152" s="8" t="s">
        <v>208</v>
      </c>
      <c r="G152" s="8" t="s">
        <v>235</v>
      </c>
      <c r="H152" s="0" t="n">
        <v>23</v>
      </c>
      <c r="I152" s="0" t="n">
        <v>12.3</v>
      </c>
      <c r="J152" s="0" t="n">
        <v>3.2</v>
      </c>
      <c r="K152" s="0" t="n">
        <v>2.6</v>
      </c>
      <c r="L152" s="0" t="n">
        <v>0.495</v>
      </c>
      <c r="M152" s="0" t="n">
        <v>0.192</v>
      </c>
      <c r="N152" s="0" t="n">
        <v>0.077</v>
      </c>
      <c r="O152" s="8" t="n">
        <f aca="false">ROUND(I152+L152,2)</f>
        <v>12.8</v>
      </c>
      <c r="P152" s="8" t="n">
        <f aca="false">ROUND(J152+M152,2)</f>
        <v>3.39</v>
      </c>
      <c r="Q152" s="8" t="n">
        <f aca="false">ROUND(K152+N152,2)</f>
        <v>2.68</v>
      </c>
    </row>
    <row r="153" customFormat="false" ht="15" hidden="false" customHeight="false" outlineLevel="0" collapsed="false">
      <c r="A153" s="0" t="s">
        <v>385</v>
      </c>
      <c r="B153" s="0" t="s">
        <v>79</v>
      </c>
      <c r="C153" s="0" t="s">
        <v>146</v>
      </c>
      <c r="D153" s="0" t="s">
        <v>239</v>
      </c>
      <c r="E153" s="3" t="s">
        <v>211</v>
      </c>
      <c r="F153" s="8" t="s">
        <v>210</v>
      </c>
      <c r="G153" s="8" t="s">
        <v>235</v>
      </c>
      <c r="H153" s="0" t="n">
        <v>23.1</v>
      </c>
      <c r="I153" s="0" t="n">
        <v>12.2</v>
      </c>
      <c r="J153" s="0" t="n">
        <v>5.6</v>
      </c>
      <c r="K153" s="0" t="n">
        <v>2.3</v>
      </c>
      <c r="L153" s="0" t="n">
        <v>0</v>
      </c>
      <c r="M153" s="0" t="n">
        <v>0</v>
      </c>
      <c r="N153" s="0" t="n">
        <v>0</v>
      </c>
      <c r="O153" s="8" t="n">
        <f aca="false">ROUND(I153+L153,2)</f>
        <v>12.2</v>
      </c>
      <c r="P153" s="8" t="n">
        <f aca="false">ROUND(J153+M153,2)</f>
        <v>5.6</v>
      </c>
      <c r="Q153" s="8" t="n">
        <f aca="false">ROUND(K153+N153,2)</f>
        <v>2.3</v>
      </c>
    </row>
    <row r="154" customFormat="false" ht="15" hidden="false" customHeight="false" outlineLevel="0" collapsed="false">
      <c r="A154" s="0" t="s">
        <v>386</v>
      </c>
      <c r="B154" s="0" t="s">
        <v>146</v>
      </c>
      <c r="C154" s="0" t="s">
        <v>146</v>
      </c>
      <c r="D154" s="0" t="s">
        <v>234</v>
      </c>
      <c r="E154" s="3" t="s">
        <v>209</v>
      </c>
      <c r="G154" s="8" t="s">
        <v>235</v>
      </c>
      <c r="H154" s="0" t="n">
        <v>30.4</v>
      </c>
      <c r="I154" s="0" t="n">
        <v>12.2</v>
      </c>
      <c r="J154" s="0" t="n">
        <v>4.1</v>
      </c>
      <c r="K154" s="0" t="n">
        <v>3.8</v>
      </c>
      <c r="L154" s="0" t="n">
        <v>0.447</v>
      </c>
      <c r="M154" s="0" t="n">
        <v>0.246</v>
      </c>
      <c r="N154" s="0" t="n">
        <v>0.217</v>
      </c>
      <c r="O154" s="8" t="n">
        <f aca="false">ROUND(I154+L154,2)</f>
        <v>12.65</v>
      </c>
      <c r="P154" s="8" t="n">
        <f aca="false">ROUND(J154+M154,2)</f>
        <v>4.35</v>
      </c>
      <c r="Q154" s="8" t="n">
        <f aca="false">ROUND(K154+N154,2)</f>
        <v>4.02</v>
      </c>
    </row>
    <row r="155" customFormat="false" ht="15" hidden="false" customHeight="false" outlineLevel="0" collapsed="false">
      <c r="A155" s="0" t="s">
        <v>387</v>
      </c>
      <c r="B155" s="0" t="s">
        <v>106</v>
      </c>
      <c r="C155" s="0" t="s">
        <v>106</v>
      </c>
      <c r="D155" s="0" t="s">
        <v>234</v>
      </c>
      <c r="E155" s="3" t="s">
        <v>210</v>
      </c>
      <c r="F155" s="8" t="s">
        <v>211</v>
      </c>
      <c r="G155" s="8" t="s">
        <v>235</v>
      </c>
      <c r="H155" s="0" t="n">
        <v>30.5</v>
      </c>
      <c r="I155" s="0" t="n">
        <v>12.2</v>
      </c>
      <c r="J155" s="0" t="n">
        <v>3.8</v>
      </c>
      <c r="K155" s="0" t="n">
        <v>2.4</v>
      </c>
      <c r="L155" s="0" t="n">
        <v>0.124</v>
      </c>
      <c r="M155" s="0" t="n">
        <v>0.004</v>
      </c>
      <c r="N155" s="0" t="n">
        <v>-0.048</v>
      </c>
      <c r="O155" s="8" t="n">
        <f aca="false">ROUND(I155+L155,2)</f>
        <v>12.32</v>
      </c>
      <c r="P155" s="8" t="n">
        <f aca="false">ROUND(J155+M155,2)</f>
        <v>3.8</v>
      </c>
      <c r="Q155" s="8" t="n">
        <f aca="false">ROUND(K155+N155,2)</f>
        <v>2.35</v>
      </c>
    </row>
    <row r="156" customFormat="false" ht="15" hidden="false" customHeight="false" outlineLevel="0" collapsed="false">
      <c r="A156" s="0" t="s">
        <v>388</v>
      </c>
      <c r="B156" s="0" t="s">
        <v>192</v>
      </c>
      <c r="C156" s="0" t="s">
        <v>192</v>
      </c>
      <c r="D156" s="0" t="s">
        <v>234</v>
      </c>
      <c r="E156" s="3" t="s">
        <v>209</v>
      </c>
      <c r="G156" s="8" t="s">
        <v>235</v>
      </c>
      <c r="H156" s="0" t="n">
        <v>24.1</v>
      </c>
      <c r="I156" s="0" t="n">
        <v>12.2</v>
      </c>
      <c r="J156" s="0" t="n">
        <v>2.8</v>
      </c>
      <c r="K156" s="0" t="n">
        <v>2</v>
      </c>
      <c r="L156" s="0" t="n">
        <v>0.732</v>
      </c>
      <c r="M156" s="0" t="n">
        <v>0.132</v>
      </c>
      <c r="N156" s="0" t="n">
        <v>0.108</v>
      </c>
      <c r="O156" s="8" t="n">
        <f aca="false">ROUND(I156+L156,2)</f>
        <v>12.93</v>
      </c>
      <c r="P156" s="8" t="n">
        <f aca="false">ROUND(J156+M156,2)</f>
        <v>2.93</v>
      </c>
      <c r="Q156" s="8" t="n">
        <f aca="false">ROUND(K156+N156,2)</f>
        <v>2.11</v>
      </c>
    </row>
    <row r="157" customFormat="false" ht="15" hidden="false" customHeight="false" outlineLevel="0" collapsed="false">
      <c r="A157" s="0" t="s">
        <v>389</v>
      </c>
      <c r="B157" s="0" t="s">
        <v>110</v>
      </c>
      <c r="C157" s="0" t="s">
        <v>110</v>
      </c>
      <c r="D157" s="0" t="s">
        <v>234</v>
      </c>
      <c r="E157" s="3" t="s">
        <v>210</v>
      </c>
      <c r="F157" s="8" t="s">
        <v>209</v>
      </c>
      <c r="G157" s="8" t="s">
        <v>235</v>
      </c>
      <c r="H157" s="0" t="n">
        <v>27.4</v>
      </c>
      <c r="I157" s="0" t="n">
        <v>12.2</v>
      </c>
      <c r="J157" s="0" t="n">
        <v>2.7</v>
      </c>
      <c r="K157" s="0" t="n">
        <v>2.1</v>
      </c>
      <c r="L157" s="0" t="n">
        <v>0.637</v>
      </c>
      <c r="M157" s="0" t="n">
        <v>0.122</v>
      </c>
      <c r="N157" s="0" t="n">
        <v>0.126</v>
      </c>
      <c r="O157" s="8" t="n">
        <f aca="false">ROUND(I157+L157,2)</f>
        <v>12.84</v>
      </c>
      <c r="P157" s="8" t="n">
        <f aca="false">ROUND(J157+M157,2)</f>
        <v>2.82</v>
      </c>
      <c r="Q157" s="8" t="n">
        <f aca="false">ROUND(K157+N157,2)</f>
        <v>2.23</v>
      </c>
    </row>
    <row r="158" customFormat="false" ht="15" hidden="false" customHeight="false" outlineLevel="0" collapsed="false">
      <c r="A158" s="0" t="s">
        <v>390</v>
      </c>
      <c r="B158" s="0" t="s">
        <v>173</v>
      </c>
      <c r="C158" s="0" t="s">
        <v>173</v>
      </c>
      <c r="D158" s="0" t="s">
        <v>234</v>
      </c>
      <c r="E158" s="3" t="s">
        <v>212</v>
      </c>
      <c r="G158" s="8" t="s">
        <v>235</v>
      </c>
      <c r="H158" s="0" t="n">
        <v>27.2</v>
      </c>
      <c r="I158" s="0" t="n">
        <v>12.1</v>
      </c>
      <c r="J158" s="0" t="n">
        <v>11.6</v>
      </c>
      <c r="K158" s="0" t="n">
        <v>2.1</v>
      </c>
      <c r="L158" s="0" t="n">
        <v>0.261</v>
      </c>
      <c r="M158" s="0" t="n">
        <v>0.172</v>
      </c>
      <c r="N158" s="0" t="n">
        <v>-0.031</v>
      </c>
      <c r="O158" s="8" t="n">
        <f aca="false">ROUND(I158+L158,2)</f>
        <v>12.36</v>
      </c>
      <c r="P158" s="8" t="n">
        <f aca="false">ROUND(J158+M158,2)</f>
        <v>11.77</v>
      </c>
      <c r="Q158" s="8" t="n">
        <f aca="false">ROUND(K158+N158,2)</f>
        <v>2.07</v>
      </c>
    </row>
    <row r="159" customFormat="false" ht="15" hidden="false" customHeight="false" outlineLevel="0" collapsed="false">
      <c r="A159" s="0" t="s">
        <v>391</v>
      </c>
      <c r="B159" s="0" t="s">
        <v>114</v>
      </c>
      <c r="C159" s="0" t="s">
        <v>114</v>
      </c>
      <c r="D159" s="0" t="s">
        <v>234</v>
      </c>
      <c r="E159" s="3" t="s">
        <v>209</v>
      </c>
      <c r="F159" s="8" t="s">
        <v>210</v>
      </c>
      <c r="G159" s="8" t="s">
        <v>235</v>
      </c>
      <c r="H159" s="0" t="n">
        <v>25.7</v>
      </c>
      <c r="I159" s="0" t="n">
        <v>12.1</v>
      </c>
      <c r="J159" s="0" t="n">
        <v>3.3</v>
      </c>
      <c r="K159" s="0" t="n">
        <v>1.6</v>
      </c>
      <c r="L159" s="0" t="n">
        <v>0.41</v>
      </c>
      <c r="M159" s="0" t="n">
        <v>0.17</v>
      </c>
      <c r="N159" s="0" t="n">
        <v>0.04</v>
      </c>
      <c r="O159" s="8" t="n">
        <f aca="false">ROUND(I159+L159,2)</f>
        <v>12.51</v>
      </c>
      <c r="P159" s="8" t="n">
        <f aca="false">ROUND(J159+M159,2)</f>
        <v>3.47</v>
      </c>
      <c r="Q159" s="8" t="n">
        <f aca="false">ROUND(K159+N159,2)</f>
        <v>1.64</v>
      </c>
    </row>
    <row r="160" customFormat="false" ht="15" hidden="false" customHeight="false" outlineLevel="0" collapsed="false">
      <c r="A160" s="0" t="s">
        <v>392</v>
      </c>
      <c r="B160" s="0" t="s">
        <v>106</v>
      </c>
      <c r="C160" s="0" t="s">
        <v>106</v>
      </c>
      <c r="D160" s="0" t="s">
        <v>234</v>
      </c>
      <c r="E160" s="3" t="s">
        <v>209</v>
      </c>
      <c r="F160" s="8" t="s">
        <v>210</v>
      </c>
      <c r="G160" s="8" t="s">
        <v>235</v>
      </c>
      <c r="H160" s="0" t="n">
        <v>31.8</v>
      </c>
      <c r="I160" s="0" t="n">
        <v>12</v>
      </c>
      <c r="J160" s="0" t="n">
        <v>4.8</v>
      </c>
      <c r="K160" s="0" t="n">
        <v>2.7</v>
      </c>
      <c r="L160" s="0" t="n">
        <v>0.106</v>
      </c>
      <c r="M160" s="0" t="n">
        <v>0.005</v>
      </c>
      <c r="N160" s="0" t="n">
        <v>-0.047</v>
      </c>
      <c r="O160" s="8" t="n">
        <f aca="false">ROUND(I160+L160,2)</f>
        <v>12.11</v>
      </c>
      <c r="P160" s="8" t="n">
        <f aca="false">ROUND(J160+M160,2)</f>
        <v>4.81</v>
      </c>
      <c r="Q160" s="8" t="n">
        <f aca="false">ROUND(K160+N160,2)</f>
        <v>2.65</v>
      </c>
    </row>
    <row r="161" customFormat="false" ht="15" hidden="false" customHeight="false" outlineLevel="0" collapsed="false">
      <c r="A161" s="0" t="s">
        <v>393</v>
      </c>
      <c r="B161" s="0" t="s">
        <v>154</v>
      </c>
      <c r="C161" s="0" t="s">
        <v>154</v>
      </c>
      <c r="D161" s="0" t="s">
        <v>234</v>
      </c>
      <c r="E161" s="3" t="s">
        <v>209</v>
      </c>
      <c r="F161" s="8" t="s">
        <v>210</v>
      </c>
      <c r="G161" s="8" t="s">
        <v>235</v>
      </c>
      <c r="H161" s="0" t="n">
        <v>30.2</v>
      </c>
      <c r="I161" s="0" t="n">
        <v>12</v>
      </c>
      <c r="J161" s="0" t="n">
        <v>7.4</v>
      </c>
      <c r="K161" s="0" t="n">
        <v>4.8</v>
      </c>
      <c r="L161" s="0" t="n">
        <v>0.046</v>
      </c>
      <c r="M161" s="0" t="n">
        <v>0.179</v>
      </c>
      <c r="N161" s="0" t="n">
        <v>0.004</v>
      </c>
      <c r="O161" s="8" t="n">
        <f aca="false">ROUND(I161+L161,2)</f>
        <v>12.05</v>
      </c>
      <c r="P161" s="8" t="n">
        <f aca="false">ROUND(J161+M161,2)</f>
        <v>7.58</v>
      </c>
      <c r="Q161" s="8" t="n">
        <f aca="false">ROUND(K161+N161,2)</f>
        <v>4.8</v>
      </c>
    </row>
    <row r="162" customFormat="false" ht="15" hidden="false" customHeight="false" outlineLevel="0" collapsed="false">
      <c r="A162" s="0" t="s">
        <v>394</v>
      </c>
      <c r="B162" s="0" t="s">
        <v>154</v>
      </c>
      <c r="C162" s="0" t="s">
        <v>154</v>
      </c>
      <c r="D162" s="0" t="s">
        <v>234</v>
      </c>
      <c r="E162" s="3" t="s">
        <v>208</v>
      </c>
      <c r="G162" s="8" t="s">
        <v>235</v>
      </c>
      <c r="H162" s="0" t="n">
        <v>26.3</v>
      </c>
      <c r="I162" s="0" t="n">
        <v>12</v>
      </c>
      <c r="J162" s="0" t="n">
        <v>2.4</v>
      </c>
      <c r="K162" s="0" t="n">
        <v>2.6</v>
      </c>
      <c r="L162" s="0" t="n">
        <v>0.064</v>
      </c>
      <c r="M162" s="0" t="n">
        <v>0.081</v>
      </c>
      <c r="N162" s="0" t="n">
        <v>0.003</v>
      </c>
      <c r="O162" s="8" t="n">
        <f aca="false">ROUND(I162+L162,2)</f>
        <v>12.06</v>
      </c>
      <c r="P162" s="8" t="n">
        <f aca="false">ROUND(J162+M162,2)</f>
        <v>2.48</v>
      </c>
      <c r="Q162" s="8" t="n">
        <f aca="false">ROUND(K162+N162,2)</f>
        <v>2.6</v>
      </c>
    </row>
    <row r="163" customFormat="false" ht="15" hidden="false" customHeight="false" outlineLevel="0" collapsed="false">
      <c r="A163" s="0" t="s">
        <v>395</v>
      </c>
      <c r="B163" s="0" t="s">
        <v>118</v>
      </c>
      <c r="C163" s="0" t="s">
        <v>118</v>
      </c>
      <c r="D163" s="0" t="s">
        <v>234</v>
      </c>
      <c r="E163" s="3" t="s">
        <v>212</v>
      </c>
      <c r="G163" s="8" t="s">
        <v>396</v>
      </c>
      <c r="H163" s="0" t="n">
        <v>12</v>
      </c>
      <c r="I163" s="0" t="n">
        <v>12</v>
      </c>
      <c r="J163" s="0" t="n">
        <v>3</v>
      </c>
      <c r="K163" s="0" t="n">
        <v>0</v>
      </c>
      <c r="L163" s="0" t="n">
        <v>-0.163</v>
      </c>
      <c r="M163" s="0" t="n">
        <v>0.072</v>
      </c>
      <c r="N163" s="0" t="n">
        <v>0</v>
      </c>
      <c r="O163" s="8" t="n">
        <f aca="false">ROUND(I163+L163,2)</f>
        <v>11.84</v>
      </c>
      <c r="P163" s="8" t="n">
        <f aca="false">ROUND(J163+M163,2)</f>
        <v>3.07</v>
      </c>
      <c r="Q163" s="8" t="n">
        <f aca="false">ROUND(K163+N163,2)</f>
        <v>0</v>
      </c>
    </row>
    <row r="164" customFormat="false" ht="15" hidden="false" customHeight="false" outlineLevel="0" collapsed="false">
      <c r="A164" s="0" t="s">
        <v>397</v>
      </c>
      <c r="B164" s="0" t="s">
        <v>79</v>
      </c>
      <c r="C164" s="0" t="s">
        <v>79</v>
      </c>
      <c r="D164" s="0" t="s">
        <v>234</v>
      </c>
      <c r="E164" s="3" t="s">
        <v>209</v>
      </c>
      <c r="F164" s="8" t="s">
        <v>210</v>
      </c>
      <c r="G164" s="8" t="s">
        <v>235</v>
      </c>
      <c r="H164" s="0" t="n">
        <v>33.2</v>
      </c>
      <c r="I164" s="0" t="n">
        <v>11.9</v>
      </c>
      <c r="J164" s="0" t="n">
        <v>6.8</v>
      </c>
      <c r="K164" s="0" t="n">
        <v>5.9</v>
      </c>
      <c r="L164" s="0" t="n">
        <v>0.714</v>
      </c>
      <c r="M164" s="0" t="n">
        <v>0.214</v>
      </c>
      <c r="N164" s="0" t="n">
        <v>0.34</v>
      </c>
      <c r="O164" s="8" t="n">
        <f aca="false">ROUND(I164+L164,2)</f>
        <v>12.61</v>
      </c>
      <c r="P164" s="8" t="n">
        <f aca="false">ROUND(J164+M164,2)</f>
        <v>7.01</v>
      </c>
      <c r="Q164" s="8" t="n">
        <f aca="false">ROUND(K164+N164,2)</f>
        <v>6.24</v>
      </c>
    </row>
    <row r="165" customFormat="false" ht="15" hidden="false" customHeight="false" outlineLevel="0" collapsed="false">
      <c r="A165" s="0" t="s">
        <v>398</v>
      </c>
      <c r="B165" s="0" t="s">
        <v>188</v>
      </c>
      <c r="C165" s="0" t="s">
        <v>188</v>
      </c>
      <c r="D165" s="0" t="s">
        <v>234</v>
      </c>
      <c r="E165" s="3" t="s">
        <v>210</v>
      </c>
      <c r="G165" s="8" t="s">
        <v>235</v>
      </c>
      <c r="H165" s="0" t="n">
        <v>20.4</v>
      </c>
      <c r="I165" s="0" t="n">
        <v>11.9</v>
      </c>
      <c r="J165" s="0" t="n">
        <v>2.4</v>
      </c>
      <c r="K165" s="0" t="n">
        <v>1.1</v>
      </c>
      <c r="L165" s="0" t="n">
        <v>0.714</v>
      </c>
      <c r="M165" s="0" t="n">
        <v>0.144</v>
      </c>
      <c r="N165" s="0" t="n">
        <v>0.066</v>
      </c>
      <c r="O165" s="8" t="n">
        <f aca="false">ROUND(I165+L165,2)</f>
        <v>12.61</v>
      </c>
      <c r="P165" s="8" t="n">
        <f aca="false">ROUND(J165+M165,2)</f>
        <v>2.54</v>
      </c>
      <c r="Q165" s="8" t="n">
        <f aca="false">ROUND(K165+N165,2)</f>
        <v>1.17</v>
      </c>
    </row>
    <row r="166" customFormat="false" ht="15" hidden="false" customHeight="false" outlineLevel="0" collapsed="false">
      <c r="A166" s="0" t="s">
        <v>399</v>
      </c>
      <c r="B166" s="0" t="s">
        <v>142</v>
      </c>
      <c r="C166" s="0" t="s">
        <v>142</v>
      </c>
      <c r="D166" s="0" t="s">
        <v>234</v>
      </c>
      <c r="E166" s="3" t="s">
        <v>212</v>
      </c>
      <c r="G166" s="8" t="s">
        <v>235</v>
      </c>
      <c r="H166" s="0" t="n">
        <v>26.9</v>
      </c>
      <c r="I166" s="0" t="n">
        <v>11.9</v>
      </c>
      <c r="J166" s="0" t="n">
        <v>5.3</v>
      </c>
      <c r="K166" s="0" t="n">
        <v>1.5</v>
      </c>
      <c r="L166" s="0" t="n">
        <v>0.417</v>
      </c>
      <c r="M166" s="0" t="n">
        <v>0.218</v>
      </c>
      <c r="N166" s="0" t="n">
        <v>0.013</v>
      </c>
      <c r="O166" s="8" t="n">
        <f aca="false">ROUND(I166+L166,2)</f>
        <v>12.32</v>
      </c>
      <c r="P166" s="8" t="n">
        <f aca="false">ROUND(J166+M166,2)</f>
        <v>5.52</v>
      </c>
      <c r="Q166" s="8" t="n">
        <f aca="false">ROUND(K166+N166,2)</f>
        <v>1.51</v>
      </c>
    </row>
    <row r="167" customFormat="false" ht="15" hidden="false" customHeight="false" outlineLevel="0" collapsed="false">
      <c r="A167" s="0" t="s">
        <v>400</v>
      </c>
      <c r="B167" s="0" t="s">
        <v>161</v>
      </c>
      <c r="C167" s="0" t="s">
        <v>161</v>
      </c>
      <c r="D167" s="0" t="s">
        <v>234</v>
      </c>
      <c r="E167" s="3" t="s">
        <v>212</v>
      </c>
      <c r="G167" s="8" t="s">
        <v>235</v>
      </c>
      <c r="H167" s="0" t="n">
        <v>29.3</v>
      </c>
      <c r="I167" s="0" t="n">
        <v>11.8</v>
      </c>
      <c r="J167" s="0" t="n">
        <v>7.4</v>
      </c>
      <c r="K167" s="0" t="n">
        <v>2</v>
      </c>
      <c r="L167" s="0" t="n">
        <v>0.016</v>
      </c>
      <c r="M167" s="0" t="n">
        <v>-0.022</v>
      </c>
      <c r="N167" s="0" t="n">
        <v>0.018</v>
      </c>
      <c r="O167" s="8" t="n">
        <f aca="false">ROUND(I167+L167,2)</f>
        <v>11.82</v>
      </c>
      <c r="P167" s="8" t="n">
        <f aca="false">ROUND(J167+M167,2)</f>
        <v>7.38</v>
      </c>
      <c r="Q167" s="8" t="n">
        <f aca="false">ROUND(K167+N167,2)</f>
        <v>2.02</v>
      </c>
    </row>
    <row r="168" customFormat="false" ht="15" hidden="false" customHeight="false" outlineLevel="0" collapsed="false">
      <c r="A168" s="0" t="s">
        <v>401</v>
      </c>
      <c r="B168" s="0" t="s">
        <v>180</v>
      </c>
      <c r="C168" s="0" t="s">
        <v>180</v>
      </c>
      <c r="D168" s="0" t="s">
        <v>234</v>
      </c>
      <c r="E168" s="3" t="s">
        <v>208</v>
      </c>
      <c r="F168" s="8" t="s">
        <v>209</v>
      </c>
      <c r="G168" s="8" t="s">
        <v>235</v>
      </c>
      <c r="H168" s="0" t="n">
        <v>22.6</v>
      </c>
      <c r="I168" s="0" t="n">
        <v>11.8</v>
      </c>
      <c r="J168" s="0" t="n">
        <v>3.4</v>
      </c>
      <c r="K168" s="0" t="n">
        <v>3.9</v>
      </c>
      <c r="L168" s="0" t="n">
        <v>-0.142</v>
      </c>
      <c r="M168" s="0" t="n">
        <v>-0.012</v>
      </c>
      <c r="N168" s="0" t="n">
        <v>-0.027</v>
      </c>
      <c r="O168" s="8" t="n">
        <f aca="false">ROUND(I168+L168,2)</f>
        <v>11.66</v>
      </c>
      <c r="P168" s="8" t="n">
        <f aca="false">ROUND(J168+M168,2)</f>
        <v>3.39</v>
      </c>
      <c r="Q168" s="8" t="n">
        <f aca="false">ROUND(K168+N168,2)</f>
        <v>3.87</v>
      </c>
    </row>
    <row r="169" customFormat="false" ht="15" hidden="false" customHeight="false" outlineLevel="0" collapsed="false">
      <c r="A169" s="0" t="s">
        <v>402</v>
      </c>
      <c r="B169" s="0" t="s">
        <v>192</v>
      </c>
      <c r="C169" s="0" t="s">
        <v>192</v>
      </c>
      <c r="D169" s="0" t="s">
        <v>234</v>
      </c>
      <c r="E169" s="3" t="s">
        <v>212</v>
      </c>
      <c r="G169" s="8" t="s">
        <v>235</v>
      </c>
      <c r="H169" s="0" t="n">
        <v>30.9</v>
      </c>
      <c r="I169" s="0" t="n">
        <v>11.8</v>
      </c>
      <c r="J169" s="0" t="n">
        <v>10.5</v>
      </c>
      <c r="K169" s="0" t="n">
        <v>1.8</v>
      </c>
      <c r="L169" s="0" t="n">
        <v>0.556</v>
      </c>
      <c r="M169" s="0" t="n">
        <v>0.283</v>
      </c>
      <c r="N169" s="0" t="n">
        <v>0.056</v>
      </c>
      <c r="O169" s="8" t="n">
        <f aca="false">ROUND(I169+L169,2)</f>
        <v>12.36</v>
      </c>
      <c r="P169" s="8" t="n">
        <f aca="false">ROUND(J169+M169,2)</f>
        <v>10.78</v>
      </c>
      <c r="Q169" s="8" t="n">
        <f aca="false">ROUND(K169+N169,2)</f>
        <v>1.86</v>
      </c>
    </row>
    <row r="170" customFormat="false" ht="15" hidden="false" customHeight="false" outlineLevel="0" collapsed="false">
      <c r="A170" s="0" t="s">
        <v>403</v>
      </c>
      <c r="B170" s="0" t="s">
        <v>87</v>
      </c>
      <c r="C170" s="0" t="s">
        <v>94</v>
      </c>
      <c r="D170" s="0" t="s">
        <v>239</v>
      </c>
      <c r="E170" s="3" t="s">
        <v>212</v>
      </c>
      <c r="G170" s="8" t="s">
        <v>235</v>
      </c>
      <c r="H170" s="0" t="n">
        <v>27.8</v>
      </c>
      <c r="I170" s="0" t="n">
        <v>11.7</v>
      </c>
      <c r="J170" s="0" t="n">
        <v>6.9</v>
      </c>
      <c r="K170" s="0" t="n">
        <v>3.7</v>
      </c>
      <c r="L170" s="0" t="n">
        <v>0</v>
      </c>
      <c r="M170" s="0" t="n">
        <v>0</v>
      </c>
      <c r="N170" s="0" t="n">
        <v>0</v>
      </c>
      <c r="O170" s="8" t="n">
        <f aca="false">ROUND(I170+L170,2)</f>
        <v>11.7</v>
      </c>
      <c r="P170" s="8" t="n">
        <f aca="false">ROUND(J170+M170,2)</f>
        <v>6.9</v>
      </c>
      <c r="Q170" s="8" t="n">
        <f aca="false">ROUND(K170+N170,2)</f>
        <v>3.7</v>
      </c>
    </row>
    <row r="171" customFormat="false" ht="15" hidden="false" customHeight="false" outlineLevel="0" collapsed="false">
      <c r="A171" s="0" t="s">
        <v>404</v>
      </c>
      <c r="B171" s="0" t="s">
        <v>188</v>
      </c>
      <c r="C171" s="0" t="s">
        <v>188</v>
      </c>
      <c r="D171" s="0" t="s">
        <v>234</v>
      </c>
      <c r="E171" s="3" t="s">
        <v>208</v>
      </c>
      <c r="G171" s="8" t="s">
        <v>235</v>
      </c>
      <c r="H171" s="0" t="n">
        <v>25.7</v>
      </c>
      <c r="I171" s="0" t="n">
        <v>11.7</v>
      </c>
      <c r="J171" s="0" t="n">
        <v>2.5</v>
      </c>
      <c r="K171" s="0" t="n">
        <v>7.2</v>
      </c>
      <c r="L171" s="0" t="n">
        <v>0.684</v>
      </c>
      <c r="M171" s="0" t="n">
        <v>0.15</v>
      </c>
      <c r="N171" s="0" t="n">
        <v>0.432</v>
      </c>
      <c r="O171" s="8" t="n">
        <f aca="false">ROUND(I171+L171,2)</f>
        <v>12.38</v>
      </c>
      <c r="P171" s="8" t="n">
        <f aca="false">ROUND(J171+M171,2)</f>
        <v>2.65</v>
      </c>
      <c r="Q171" s="8" t="n">
        <f aca="false">ROUND(K171+N171,2)</f>
        <v>7.63</v>
      </c>
    </row>
    <row r="172" customFormat="false" ht="15" hidden="false" customHeight="false" outlineLevel="0" collapsed="false">
      <c r="A172" s="0" t="s">
        <v>405</v>
      </c>
      <c r="B172" s="0" t="s">
        <v>192</v>
      </c>
      <c r="C172" s="0" t="s">
        <v>192</v>
      </c>
      <c r="D172" s="0" t="s">
        <v>234</v>
      </c>
      <c r="E172" s="3" t="s">
        <v>210</v>
      </c>
      <c r="G172" s="8" t="s">
        <v>235</v>
      </c>
      <c r="H172" s="0" t="n">
        <v>26.2</v>
      </c>
      <c r="I172" s="0" t="n">
        <v>11.7</v>
      </c>
      <c r="J172" s="0" t="n">
        <v>4.3</v>
      </c>
      <c r="K172" s="0" t="n">
        <v>2.6</v>
      </c>
      <c r="L172" s="0" t="n">
        <v>0.702</v>
      </c>
      <c r="M172" s="0" t="n">
        <v>0.175</v>
      </c>
      <c r="N172" s="0" t="n">
        <v>0.122</v>
      </c>
      <c r="O172" s="8" t="n">
        <f aca="false">ROUND(I172+L172,2)</f>
        <v>12.4</v>
      </c>
      <c r="P172" s="8" t="n">
        <f aca="false">ROUND(J172+M172,2)</f>
        <v>4.48</v>
      </c>
      <c r="Q172" s="8" t="n">
        <f aca="false">ROUND(K172+N172,2)</f>
        <v>2.72</v>
      </c>
    </row>
    <row r="173" customFormat="false" ht="15" hidden="false" customHeight="false" outlineLevel="0" collapsed="false">
      <c r="A173" s="0" t="s">
        <v>406</v>
      </c>
      <c r="B173" s="0" t="s">
        <v>150</v>
      </c>
      <c r="C173" s="0" t="s">
        <v>150</v>
      </c>
      <c r="D173" s="0" t="s">
        <v>234</v>
      </c>
      <c r="E173" s="3" t="s">
        <v>212</v>
      </c>
      <c r="G173" s="8" t="s">
        <v>235</v>
      </c>
      <c r="H173" s="0" t="n">
        <v>25</v>
      </c>
      <c r="I173" s="0" t="n">
        <v>11.7</v>
      </c>
      <c r="J173" s="0" t="n">
        <v>7.1</v>
      </c>
      <c r="K173" s="0" t="n">
        <v>3.7</v>
      </c>
      <c r="L173" s="0" t="n">
        <v>0.139</v>
      </c>
      <c r="M173" s="0" t="n">
        <v>0.226</v>
      </c>
      <c r="N173" s="0" t="n">
        <v>0.124</v>
      </c>
      <c r="O173" s="8" t="n">
        <f aca="false">ROUND(I173+L173,2)</f>
        <v>11.84</v>
      </c>
      <c r="P173" s="8" t="n">
        <f aca="false">ROUND(J173+M173,2)</f>
        <v>7.33</v>
      </c>
      <c r="Q173" s="8" t="n">
        <f aca="false">ROUND(K173+N173,2)</f>
        <v>3.82</v>
      </c>
    </row>
    <row r="174" customFormat="false" ht="15" hidden="false" customHeight="false" outlineLevel="0" collapsed="false">
      <c r="A174" s="0" t="s">
        <v>407</v>
      </c>
      <c r="B174" s="0" t="s">
        <v>102</v>
      </c>
      <c r="C174" s="0" t="s">
        <v>138</v>
      </c>
      <c r="D174" s="0" t="s">
        <v>239</v>
      </c>
      <c r="E174" s="3" t="s">
        <v>209</v>
      </c>
      <c r="F174" s="8" t="s">
        <v>210</v>
      </c>
      <c r="G174" s="8" t="s">
        <v>235</v>
      </c>
      <c r="H174" s="0" t="n">
        <v>21.7</v>
      </c>
      <c r="I174" s="0" t="n">
        <v>11.7</v>
      </c>
      <c r="J174" s="0" t="n">
        <v>2.1</v>
      </c>
      <c r="K174" s="0" t="n">
        <v>1.4</v>
      </c>
      <c r="L174" s="0" t="n">
        <v>0</v>
      </c>
      <c r="M174" s="0" t="n">
        <v>0</v>
      </c>
      <c r="N174" s="0" t="n">
        <v>0</v>
      </c>
      <c r="O174" s="8" t="n">
        <f aca="false">ROUND(I174+L174,2)</f>
        <v>11.7</v>
      </c>
      <c r="P174" s="8" t="n">
        <f aca="false">ROUND(J174+M174,2)</f>
        <v>2.1</v>
      </c>
      <c r="Q174" s="8" t="n">
        <f aca="false">ROUND(K174+N174,2)</f>
        <v>1.4</v>
      </c>
    </row>
    <row r="175" customFormat="false" ht="15" hidden="false" customHeight="false" outlineLevel="0" collapsed="false">
      <c r="A175" s="0" t="s">
        <v>408</v>
      </c>
      <c r="B175" s="0" t="s">
        <v>169</v>
      </c>
      <c r="C175" s="0" t="s">
        <v>169</v>
      </c>
      <c r="D175" s="0" t="s">
        <v>243</v>
      </c>
      <c r="E175" s="3" t="s">
        <v>212</v>
      </c>
      <c r="G175" s="8" t="s">
        <v>235</v>
      </c>
      <c r="H175" s="0" t="n">
        <v>23.6</v>
      </c>
      <c r="I175" s="0" t="n">
        <v>11.7</v>
      </c>
      <c r="J175" s="0" t="n">
        <v>8</v>
      </c>
      <c r="K175" s="0" t="n">
        <v>1</v>
      </c>
      <c r="L175" s="0" t="n">
        <v>0.327</v>
      </c>
      <c r="M175" s="0" t="n">
        <v>0.147</v>
      </c>
      <c r="N175" s="0" t="n">
        <v>0.041</v>
      </c>
      <c r="O175" s="8" t="n">
        <f aca="false">ROUND(I175+L175,2)</f>
        <v>12.03</v>
      </c>
      <c r="P175" s="8" t="n">
        <f aca="false">ROUND(J175+M175,2)</f>
        <v>8.15</v>
      </c>
      <c r="Q175" s="8" t="n">
        <f aca="false">ROUND(K175+N175,2)</f>
        <v>1.04</v>
      </c>
    </row>
    <row r="176" customFormat="false" ht="15" hidden="false" customHeight="false" outlineLevel="0" collapsed="false">
      <c r="A176" s="0" t="s">
        <v>409</v>
      </c>
      <c r="B176" s="0" t="s">
        <v>122</v>
      </c>
      <c r="C176" s="0" t="s">
        <v>122</v>
      </c>
      <c r="D176" s="0" t="s">
        <v>234</v>
      </c>
      <c r="E176" s="3" t="s">
        <v>211</v>
      </c>
      <c r="G176" s="8" t="s">
        <v>235</v>
      </c>
      <c r="H176" s="0" t="n">
        <v>17.7</v>
      </c>
      <c r="I176" s="0" t="n">
        <v>11.6</v>
      </c>
      <c r="J176" s="0" t="n">
        <v>4.4</v>
      </c>
      <c r="K176" s="0" t="n">
        <v>2.3</v>
      </c>
      <c r="L176" s="0" t="n">
        <v>0.696</v>
      </c>
      <c r="M176" s="0" t="n">
        <v>0.264</v>
      </c>
      <c r="N176" s="0" t="n">
        <v>0.138</v>
      </c>
      <c r="O176" s="8" t="n">
        <f aca="false">ROUND(I176+L176,2)</f>
        <v>12.3</v>
      </c>
      <c r="P176" s="8" t="n">
        <f aca="false">ROUND(J176+M176,2)</f>
        <v>4.66</v>
      </c>
      <c r="Q176" s="8" t="n">
        <f aca="false">ROUND(K176+N176,2)</f>
        <v>2.44</v>
      </c>
    </row>
    <row r="177" customFormat="false" ht="15" hidden="false" customHeight="false" outlineLevel="0" collapsed="false">
      <c r="A177" s="0" t="s">
        <v>410</v>
      </c>
      <c r="B177" s="0" t="s">
        <v>122</v>
      </c>
      <c r="C177" s="0" t="s">
        <v>122</v>
      </c>
      <c r="D177" s="0" t="s">
        <v>234</v>
      </c>
      <c r="E177" s="3" t="s">
        <v>211</v>
      </c>
      <c r="G177" s="8" t="s">
        <v>235</v>
      </c>
      <c r="H177" s="0" t="n">
        <v>25.7</v>
      </c>
      <c r="I177" s="0" t="n">
        <v>11.6</v>
      </c>
      <c r="J177" s="0" t="n">
        <v>5.1</v>
      </c>
      <c r="K177" s="0" t="n">
        <v>2.5</v>
      </c>
      <c r="L177" s="0" t="n">
        <v>0.696</v>
      </c>
      <c r="M177" s="0" t="n">
        <v>0.306</v>
      </c>
      <c r="N177" s="0" t="n">
        <v>0.144</v>
      </c>
      <c r="O177" s="8" t="n">
        <f aca="false">ROUND(I177+L177,2)</f>
        <v>12.3</v>
      </c>
      <c r="P177" s="8" t="n">
        <f aca="false">ROUND(J177+M177,2)</f>
        <v>5.41</v>
      </c>
      <c r="Q177" s="8" t="n">
        <f aca="false">ROUND(K177+N177,2)</f>
        <v>2.64</v>
      </c>
    </row>
    <row r="178" customFormat="false" ht="15" hidden="false" customHeight="false" outlineLevel="0" collapsed="false">
      <c r="A178" s="0" t="s">
        <v>411</v>
      </c>
      <c r="B178" s="0" t="s">
        <v>130</v>
      </c>
      <c r="C178" s="0" t="s">
        <v>126</v>
      </c>
      <c r="D178" s="0" t="s">
        <v>239</v>
      </c>
      <c r="E178" s="3" t="s">
        <v>211</v>
      </c>
      <c r="G178" s="8" t="s">
        <v>235</v>
      </c>
      <c r="H178" s="0" t="n">
        <v>28.3</v>
      </c>
      <c r="I178" s="0" t="n">
        <v>11.5</v>
      </c>
      <c r="J178" s="0" t="n">
        <v>3.3</v>
      </c>
      <c r="K178" s="0" t="n">
        <v>0.8</v>
      </c>
      <c r="L178" s="0" t="n">
        <v>0</v>
      </c>
      <c r="M178" s="0" t="n">
        <v>0</v>
      </c>
      <c r="N178" s="0" t="n">
        <v>0</v>
      </c>
      <c r="O178" s="8" t="n">
        <f aca="false">ROUND(I178+L178,2)</f>
        <v>11.5</v>
      </c>
      <c r="P178" s="8" t="n">
        <f aca="false">ROUND(J178+M178,2)</f>
        <v>3.3</v>
      </c>
      <c r="Q178" s="8" t="n">
        <f aca="false">ROUND(K178+N178,2)</f>
        <v>0.8</v>
      </c>
    </row>
    <row r="179" customFormat="false" ht="15" hidden="false" customHeight="false" outlineLevel="0" collapsed="false">
      <c r="A179" s="0" t="s">
        <v>412</v>
      </c>
      <c r="B179" s="0" t="s">
        <v>188</v>
      </c>
      <c r="C179" s="0" t="s">
        <v>188</v>
      </c>
      <c r="D179" s="0" t="s">
        <v>234</v>
      </c>
      <c r="E179" s="3" t="s">
        <v>212</v>
      </c>
      <c r="F179" s="8" t="s">
        <v>211</v>
      </c>
      <c r="G179" s="8" t="s">
        <v>235</v>
      </c>
      <c r="H179" s="0" t="n">
        <v>23.4</v>
      </c>
      <c r="I179" s="0" t="n">
        <v>11.4</v>
      </c>
      <c r="J179" s="0" t="n">
        <v>7.2</v>
      </c>
      <c r="K179" s="0" t="n">
        <v>2.6</v>
      </c>
      <c r="L179" s="0" t="n">
        <v>0.684</v>
      </c>
      <c r="M179" s="0" t="n">
        <v>0.432</v>
      </c>
      <c r="N179" s="0" t="n">
        <v>0.156</v>
      </c>
      <c r="O179" s="8" t="n">
        <f aca="false">ROUND(I179+L179,2)</f>
        <v>12.08</v>
      </c>
      <c r="P179" s="8" t="n">
        <f aca="false">ROUND(J179+M179,2)</f>
        <v>7.63</v>
      </c>
      <c r="Q179" s="8" t="n">
        <f aca="false">ROUND(K179+N179,2)</f>
        <v>2.76</v>
      </c>
    </row>
    <row r="180" customFormat="false" ht="15" hidden="false" customHeight="false" outlineLevel="0" collapsed="false">
      <c r="A180" s="0" t="s">
        <v>413</v>
      </c>
      <c r="B180" s="0" t="s">
        <v>138</v>
      </c>
      <c r="C180" s="0" t="s">
        <v>138</v>
      </c>
      <c r="D180" s="0" t="s">
        <v>243</v>
      </c>
      <c r="E180" s="3" t="s">
        <v>209</v>
      </c>
      <c r="G180" s="8" t="s">
        <v>235</v>
      </c>
      <c r="H180" s="0" t="n">
        <v>26.4</v>
      </c>
      <c r="I180" s="0" t="n">
        <v>11.4</v>
      </c>
      <c r="J180" s="0" t="n">
        <v>3.5</v>
      </c>
      <c r="K180" s="0" t="n">
        <v>3.4</v>
      </c>
      <c r="L180" s="0" t="n">
        <v>0.684</v>
      </c>
      <c r="M180" s="0" t="n">
        <v>0.21</v>
      </c>
      <c r="N180" s="0" t="n">
        <v>0.204</v>
      </c>
      <c r="O180" s="8" t="n">
        <f aca="false">ROUND(I180+L180,2)</f>
        <v>12.08</v>
      </c>
      <c r="P180" s="8" t="n">
        <f aca="false">ROUND(J180+M180,2)</f>
        <v>3.71</v>
      </c>
      <c r="Q180" s="8" t="n">
        <f aca="false">ROUND(K180+N180,2)</f>
        <v>3.6</v>
      </c>
    </row>
    <row r="181" customFormat="false" ht="15" hidden="false" customHeight="false" outlineLevel="0" collapsed="false">
      <c r="A181" s="0" t="s">
        <v>414</v>
      </c>
      <c r="B181" s="0" t="s">
        <v>134</v>
      </c>
      <c r="C181" s="0" t="s">
        <v>134</v>
      </c>
      <c r="D181" s="0" t="s">
        <v>234</v>
      </c>
      <c r="E181" s="3" t="s">
        <v>208</v>
      </c>
      <c r="G181" s="8" t="s">
        <v>235</v>
      </c>
      <c r="H181" s="0" t="n">
        <v>21.2</v>
      </c>
      <c r="I181" s="0" t="n">
        <v>11.4</v>
      </c>
      <c r="J181" s="0" t="n">
        <v>2.2</v>
      </c>
      <c r="K181" s="0" t="n">
        <v>4.7</v>
      </c>
      <c r="L181" s="0" t="n">
        <v>0.684</v>
      </c>
      <c r="M181" s="0" t="n">
        <v>0.132</v>
      </c>
      <c r="N181" s="0" t="n">
        <v>0.282</v>
      </c>
      <c r="O181" s="8" t="n">
        <f aca="false">ROUND(I181+L181,2)</f>
        <v>12.08</v>
      </c>
      <c r="P181" s="8" t="n">
        <f aca="false">ROUND(J181+M181,2)</f>
        <v>2.33</v>
      </c>
      <c r="Q181" s="8" t="n">
        <f aca="false">ROUND(K181+N181,2)</f>
        <v>4.98</v>
      </c>
    </row>
    <row r="182" customFormat="false" ht="15" hidden="false" customHeight="false" outlineLevel="0" collapsed="false">
      <c r="A182" s="0" t="s">
        <v>415</v>
      </c>
      <c r="B182" s="0" t="s">
        <v>184</v>
      </c>
      <c r="C182" s="0" t="s">
        <v>130</v>
      </c>
      <c r="D182" s="0" t="s">
        <v>239</v>
      </c>
      <c r="E182" s="3" t="s">
        <v>211</v>
      </c>
      <c r="F182" s="8" t="s">
        <v>212</v>
      </c>
      <c r="G182" s="8" t="s">
        <v>235</v>
      </c>
      <c r="H182" s="0" t="n">
        <v>21.9</v>
      </c>
      <c r="I182" s="0" t="n">
        <v>11.2</v>
      </c>
      <c r="J182" s="0" t="n">
        <v>4.9</v>
      </c>
      <c r="K182" s="0" t="n">
        <v>1.9</v>
      </c>
      <c r="L182" s="0" t="n">
        <v>0</v>
      </c>
      <c r="M182" s="0" t="n">
        <v>0</v>
      </c>
      <c r="N182" s="0" t="n">
        <v>0</v>
      </c>
      <c r="O182" s="8" t="n">
        <f aca="false">ROUND(I182+L182,2)</f>
        <v>11.2</v>
      </c>
      <c r="P182" s="8" t="n">
        <f aca="false">ROUND(J182+M182,2)</f>
        <v>4.9</v>
      </c>
      <c r="Q182" s="8" t="n">
        <f aca="false">ROUND(K182+N182,2)</f>
        <v>1.9</v>
      </c>
    </row>
    <row r="183" customFormat="false" ht="15" hidden="false" customHeight="false" outlineLevel="0" collapsed="false">
      <c r="A183" s="0" t="s">
        <v>416</v>
      </c>
      <c r="B183" s="0" t="s">
        <v>98</v>
      </c>
      <c r="C183" s="0" t="s">
        <v>126</v>
      </c>
      <c r="D183" s="0" t="s">
        <v>239</v>
      </c>
      <c r="E183" s="3" t="s">
        <v>210</v>
      </c>
      <c r="F183" s="8" t="s">
        <v>209</v>
      </c>
      <c r="G183" s="8" t="s">
        <v>235</v>
      </c>
      <c r="H183" s="0" t="n">
        <v>24</v>
      </c>
      <c r="I183" s="0" t="n">
        <v>11.2</v>
      </c>
      <c r="J183" s="0" t="n">
        <v>5.4</v>
      </c>
      <c r="K183" s="0" t="n">
        <v>2</v>
      </c>
      <c r="L183" s="0" t="n">
        <v>0</v>
      </c>
      <c r="M183" s="0" t="n">
        <v>0</v>
      </c>
      <c r="N183" s="0" t="n">
        <v>0</v>
      </c>
      <c r="O183" s="8" t="n">
        <f aca="false">ROUND(I183+L183,2)</f>
        <v>11.2</v>
      </c>
      <c r="P183" s="8" t="n">
        <f aca="false">ROUND(J183+M183,2)</f>
        <v>5.4</v>
      </c>
      <c r="Q183" s="8" t="n">
        <f aca="false">ROUND(K183+N183,2)</f>
        <v>2</v>
      </c>
    </row>
    <row r="184" customFormat="false" ht="15" hidden="false" customHeight="false" outlineLevel="0" collapsed="false">
      <c r="A184" s="0" t="s">
        <v>417</v>
      </c>
      <c r="B184" s="0" t="s">
        <v>180</v>
      </c>
      <c r="C184" s="0" t="s">
        <v>180</v>
      </c>
      <c r="D184" s="0" t="s">
        <v>243</v>
      </c>
      <c r="E184" s="3" t="s">
        <v>210</v>
      </c>
      <c r="G184" s="8" t="s">
        <v>235</v>
      </c>
      <c r="H184" s="0" t="n">
        <v>27.6</v>
      </c>
      <c r="I184" s="0" t="n">
        <v>11.1</v>
      </c>
      <c r="J184" s="0" t="n">
        <v>5.8</v>
      </c>
      <c r="K184" s="0" t="n">
        <v>1.5</v>
      </c>
      <c r="L184" s="0" t="n">
        <v>-0.095</v>
      </c>
      <c r="M184" s="0" t="n">
        <v>-0.014</v>
      </c>
      <c r="N184" s="0" t="n">
        <v>-0.007</v>
      </c>
      <c r="O184" s="8" t="n">
        <f aca="false">ROUND(I184+L184,2)</f>
        <v>11.01</v>
      </c>
      <c r="P184" s="8" t="n">
        <f aca="false">ROUND(J184+M184,2)</f>
        <v>5.79</v>
      </c>
      <c r="Q184" s="8" t="n">
        <f aca="false">ROUND(K184+N184,2)</f>
        <v>1.49</v>
      </c>
    </row>
    <row r="185" customFormat="false" ht="15" hidden="false" customHeight="false" outlineLevel="0" collapsed="false">
      <c r="A185" s="0" t="s">
        <v>418</v>
      </c>
      <c r="B185" s="0" t="s">
        <v>158</v>
      </c>
      <c r="C185" s="0" t="s">
        <v>110</v>
      </c>
      <c r="D185" s="0" t="s">
        <v>239</v>
      </c>
      <c r="E185" s="3" t="s">
        <v>209</v>
      </c>
      <c r="G185" s="8" t="s">
        <v>235</v>
      </c>
      <c r="H185" s="0" t="n">
        <v>21.2</v>
      </c>
      <c r="I185" s="0" t="n">
        <v>11.1</v>
      </c>
      <c r="J185" s="0" t="n">
        <v>2.5</v>
      </c>
      <c r="K185" s="0" t="n">
        <v>1.3</v>
      </c>
      <c r="L185" s="0" t="n">
        <v>0</v>
      </c>
      <c r="M185" s="0" t="n">
        <v>0</v>
      </c>
      <c r="N185" s="0" t="n">
        <v>0</v>
      </c>
      <c r="O185" s="8" t="n">
        <f aca="false">ROUND(I185+L185,2)</f>
        <v>11.1</v>
      </c>
      <c r="P185" s="8" t="n">
        <f aca="false">ROUND(J185+M185,2)</f>
        <v>2.5</v>
      </c>
      <c r="Q185" s="8" t="n">
        <f aca="false">ROUND(K185+N185,2)</f>
        <v>1.3</v>
      </c>
    </row>
    <row r="186" customFormat="false" ht="15" hidden="false" customHeight="false" outlineLevel="0" collapsed="false">
      <c r="A186" s="0" t="s">
        <v>419</v>
      </c>
      <c r="B186" s="0" t="s">
        <v>134</v>
      </c>
      <c r="C186" s="0" t="s">
        <v>134</v>
      </c>
      <c r="D186" s="0" t="s">
        <v>234</v>
      </c>
      <c r="E186" s="3" t="s">
        <v>209</v>
      </c>
      <c r="G186" s="8" t="s">
        <v>235</v>
      </c>
      <c r="H186" s="0" t="n">
        <v>23.8</v>
      </c>
      <c r="I186" s="0" t="n">
        <v>11.1</v>
      </c>
      <c r="J186" s="0" t="n">
        <v>2.5</v>
      </c>
      <c r="K186" s="0" t="n">
        <v>5.6</v>
      </c>
      <c r="L186" s="0" t="n">
        <v>0.666</v>
      </c>
      <c r="M186" s="0" t="n">
        <v>0.15</v>
      </c>
      <c r="N186" s="0" t="n">
        <v>0.336</v>
      </c>
      <c r="O186" s="8" t="n">
        <f aca="false">ROUND(I186+L186,2)</f>
        <v>11.77</v>
      </c>
      <c r="P186" s="8" t="n">
        <f aca="false">ROUND(J186+M186,2)</f>
        <v>2.65</v>
      </c>
      <c r="Q186" s="8" t="n">
        <f aca="false">ROUND(K186+N186,2)</f>
        <v>5.94</v>
      </c>
    </row>
    <row r="187" customFormat="false" ht="15" hidden="false" customHeight="false" outlineLevel="0" collapsed="false">
      <c r="A187" s="0" t="s">
        <v>420</v>
      </c>
      <c r="B187" s="0" t="s">
        <v>138</v>
      </c>
      <c r="C187" s="0" t="s">
        <v>142</v>
      </c>
      <c r="D187" s="0" t="s">
        <v>239</v>
      </c>
      <c r="E187" s="3" t="s">
        <v>212</v>
      </c>
      <c r="G187" s="8" t="s">
        <v>235</v>
      </c>
      <c r="H187" s="0" t="n">
        <v>22.1</v>
      </c>
      <c r="I187" s="0" t="n">
        <v>11.1</v>
      </c>
      <c r="J187" s="0" t="n">
        <v>9</v>
      </c>
      <c r="K187" s="0" t="n">
        <v>0.7</v>
      </c>
      <c r="L187" s="0" t="n">
        <v>0</v>
      </c>
      <c r="M187" s="0" t="n">
        <v>0</v>
      </c>
      <c r="N187" s="0" t="n">
        <v>0</v>
      </c>
      <c r="O187" s="8" t="n">
        <f aca="false">ROUND(I187+L187,2)</f>
        <v>11.1</v>
      </c>
      <c r="P187" s="8" t="n">
        <f aca="false">ROUND(J187+M187,2)</f>
        <v>9</v>
      </c>
      <c r="Q187" s="8" t="n">
        <f aca="false">ROUND(K187+N187,2)</f>
        <v>0.7</v>
      </c>
    </row>
    <row r="188" customFormat="false" ht="15" hidden="false" customHeight="false" outlineLevel="0" collapsed="false">
      <c r="A188" s="0" t="s">
        <v>421</v>
      </c>
      <c r="B188" s="0" t="s">
        <v>192</v>
      </c>
      <c r="C188" s="0" t="s">
        <v>192</v>
      </c>
      <c r="D188" s="0" t="s">
        <v>234</v>
      </c>
      <c r="E188" s="3" t="s">
        <v>211</v>
      </c>
      <c r="G188" s="8" t="s">
        <v>396</v>
      </c>
      <c r="H188" s="0" t="n">
        <v>25.3</v>
      </c>
      <c r="I188" s="0" t="n">
        <v>11</v>
      </c>
      <c r="J188" s="0" t="n">
        <v>6.3</v>
      </c>
      <c r="K188" s="0" t="n">
        <v>3</v>
      </c>
      <c r="L188" s="0" t="n">
        <v>0.66</v>
      </c>
      <c r="M188" s="0" t="n">
        <v>0.274</v>
      </c>
      <c r="N188" s="0" t="n">
        <v>0.15</v>
      </c>
      <c r="O188" s="8" t="n">
        <f aca="false">ROUND(I188+L188,2)</f>
        <v>11.66</v>
      </c>
      <c r="P188" s="8" t="n">
        <f aca="false">ROUND(J188+M188,2)</f>
        <v>6.57</v>
      </c>
      <c r="Q188" s="8" t="n">
        <f aca="false">ROUND(K188+N188,2)</f>
        <v>3.15</v>
      </c>
    </row>
    <row r="189" customFormat="false" ht="15" hidden="false" customHeight="false" outlineLevel="0" collapsed="false">
      <c r="A189" s="0" t="s">
        <v>422</v>
      </c>
      <c r="B189" s="0" t="s">
        <v>146</v>
      </c>
      <c r="C189" s="0" t="s">
        <v>146</v>
      </c>
      <c r="D189" s="0" t="s">
        <v>234</v>
      </c>
      <c r="E189" s="3" t="s">
        <v>212</v>
      </c>
      <c r="G189" s="8" t="s">
        <v>235</v>
      </c>
      <c r="H189" s="0" t="n">
        <v>31.3</v>
      </c>
      <c r="I189" s="0" t="n">
        <v>10.9</v>
      </c>
      <c r="J189" s="0" t="n">
        <v>11.5</v>
      </c>
      <c r="K189" s="0" t="n">
        <v>1.7</v>
      </c>
      <c r="L189" s="0" t="n">
        <v>0.362</v>
      </c>
      <c r="M189" s="0" t="n">
        <v>0.69</v>
      </c>
      <c r="N189" s="0" t="n">
        <v>0.088</v>
      </c>
      <c r="O189" s="8" t="n">
        <f aca="false">ROUND(I189+L189,2)</f>
        <v>11.26</v>
      </c>
      <c r="P189" s="8" t="n">
        <f aca="false">ROUND(J189+M189,2)</f>
        <v>12.19</v>
      </c>
      <c r="Q189" s="8" t="n">
        <f aca="false">ROUND(K189+N189,2)</f>
        <v>1.79</v>
      </c>
    </row>
    <row r="190" customFormat="false" ht="15" hidden="false" customHeight="false" outlineLevel="0" collapsed="false">
      <c r="A190" s="0" t="s">
        <v>423</v>
      </c>
      <c r="B190" s="0" t="s">
        <v>188</v>
      </c>
      <c r="C190" s="0" t="s">
        <v>188</v>
      </c>
      <c r="D190" s="0" t="s">
        <v>243</v>
      </c>
      <c r="E190" s="3" t="s">
        <v>212</v>
      </c>
      <c r="G190" s="8" t="s">
        <v>235</v>
      </c>
      <c r="H190" s="0" t="n">
        <v>26.4</v>
      </c>
      <c r="I190" s="0" t="n">
        <v>10.9</v>
      </c>
      <c r="J190" s="0" t="n">
        <v>10.4</v>
      </c>
      <c r="K190" s="0" t="n">
        <v>4.8</v>
      </c>
      <c r="L190" s="0" t="n">
        <v>0.606</v>
      </c>
      <c r="M190" s="0" t="n">
        <v>0.624</v>
      </c>
      <c r="N190" s="0" t="n">
        <v>0.288</v>
      </c>
      <c r="O190" s="8" t="n">
        <f aca="false">ROUND(I190+L190,2)</f>
        <v>11.51</v>
      </c>
      <c r="P190" s="8" t="n">
        <f aca="false">ROUND(J190+M190,2)</f>
        <v>11.02</v>
      </c>
      <c r="Q190" s="8" t="n">
        <f aca="false">ROUND(K190+N190,2)</f>
        <v>5.09</v>
      </c>
    </row>
    <row r="191" customFormat="false" ht="15" hidden="false" customHeight="false" outlineLevel="0" collapsed="false">
      <c r="A191" s="0" t="s">
        <v>424</v>
      </c>
      <c r="B191" s="0" t="s">
        <v>98</v>
      </c>
      <c r="C191" s="0" t="s">
        <v>91</v>
      </c>
      <c r="D191" s="0" t="s">
        <v>239</v>
      </c>
      <c r="E191" s="3" t="s">
        <v>208</v>
      </c>
      <c r="G191" s="8" t="s">
        <v>235</v>
      </c>
      <c r="H191" s="0" t="n">
        <v>24.2</v>
      </c>
      <c r="I191" s="0" t="n">
        <v>10.8</v>
      </c>
      <c r="J191" s="0" t="n">
        <v>2.7</v>
      </c>
      <c r="K191" s="0" t="n">
        <v>4.9</v>
      </c>
      <c r="L191" s="0" t="n">
        <v>0</v>
      </c>
      <c r="M191" s="0" t="n">
        <v>0</v>
      </c>
      <c r="N191" s="0" t="n">
        <v>0</v>
      </c>
      <c r="O191" s="8" t="n">
        <f aca="false">ROUND(I191+L191,2)</f>
        <v>10.8</v>
      </c>
      <c r="P191" s="8" t="n">
        <f aca="false">ROUND(J191+M191,2)</f>
        <v>2.7</v>
      </c>
      <c r="Q191" s="8" t="n">
        <f aca="false">ROUND(K191+N191,2)</f>
        <v>4.9</v>
      </c>
    </row>
    <row r="192" customFormat="false" ht="15" hidden="false" customHeight="false" outlineLevel="0" collapsed="false">
      <c r="A192" s="0" t="s">
        <v>425</v>
      </c>
      <c r="B192" s="0" t="s">
        <v>134</v>
      </c>
      <c r="C192" s="0" t="s">
        <v>134</v>
      </c>
      <c r="D192" s="0" t="s">
        <v>234</v>
      </c>
      <c r="E192" s="3" t="s">
        <v>210</v>
      </c>
      <c r="G192" s="8" t="s">
        <v>396</v>
      </c>
      <c r="H192" s="0" t="n">
        <v>25.6</v>
      </c>
      <c r="I192" s="0" t="n">
        <v>10.8</v>
      </c>
      <c r="J192" s="0" t="n">
        <v>4.2</v>
      </c>
      <c r="K192" s="0" t="n">
        <v>1</v>
      </c>
      <c r="L192" s="0" t="n">
        <v>0.648</v>
      </c>
      <c r="M192" s="0" t="n">
        <v>0.252</v>
      </c>
      <c r="N192" s="0" t="n">
        <v>0.06</v>
      </c>
      <c r="O192" s="8" t="n">
        <f aca="false">ROUND(I192+L192,2)</f>
        <v>11.45</v>
      </c>
      <c r="P192" s="8" t="n">
        <f aca="false">ROUND(J192+M192,2)</f>
        <v>4.45</v>
      </c>
      <c r="Q192" s="8" t="n">
        <f aca="false">ROUND(K192+N192,2)</f>
        <v>1.06</v>
      </c>
    </row>
    <row r="193" customFormat="false" ht="15" hidden="false" customHeight="false" outlineLevel="0" collapsed="false">
      <c r="A193" s="0" t="s">
        <v>426</v>
      </c>
      <c r="B193" s="0" t="s">
        <v>177</v>
      </c>
      <c r="C193" s="0" t="s">
        <v>177</v>
      </c>
      <c r="D193" s="0" t="s">
        <v>243</v>
      </c>
      <c r="E193" s="3" t="s">
        <v>210</v>
      </c>
      <c r="G193" s="8" t="s">
        <v>396</v>
      </c>
      <c r="H193" s="0" t="n">
        <v>26.4</v>
      </c>
      <c r="I193" s="0" t="n">
        <v>10.8</v>
      </c>
      <c r="J193" s="0" t="n">
        <v>3</v>
      </c>
      <c r="K193" s="0" t="n">
        <v>1.3</v>
      </c>
      <c r="L193" s="0" t="n">
        <v>0.648</v>
      </c>
      <c r="M193" s="0" t="n">
        <v>0.121</v>
      </c>
      <c r="N193" s="0" t="n">
        <v>0.078</v>
      </c>
      <c r="O193" s="8" t="n">
        <f aca="false">ROUND(I193+L193,2)</f>
        <v>11.45</v>
      </c>
      <c r="P193" s="8" t="n">
        <f aca="false">ROUND(J193+M193,2)</f>
        <v>3.12</v>
      </c>
      <c r="Q193" s="8" t="n">
        <f aca="false">ROUND(K193+N193,2)</f>
        <v>1.38</v>
      </c>
    </row>
    <row r="194" customFormat="false" ht="15" hidden="false" customHeight="false" outlineLevel="0" collapsed="false">
      <c r="A194" s="0" t="s">
        <v>427</v>
      </c>
      <c r="B194" s="0" t="s">
        <v>192</v>
      </c>
      <c r="C194" s="0" t="s">
        <v>192</v>
      </c>
      <c r="D194" s="0" t="s">
        <v>234</v>
      </c>
      <c r="E194" s="3" t="s">
        <v>208</v>
      </c>
      <c r="G194" s="8" t="s">
        <v>235</v>
      </c>
      <c r="H194" s="0" t="n">
        <v>27.7</v>
      </c>
      <c r="I194" s="0" t="n">
        <v>10.7</v>
      </c>
      <c r="J194" s="0" t="n">
        <v>3.4</v>
      </c>
      <c r="K194" s="0" t="n">
        <v>4.6</v>
      </c>
      <c r="L194" s="0" t="n">
        <v>0.642</v>
      </c>
      <c r="M194" s="0" t="n">
        <v>0.124</v>
      </c>
      <c r="N194" s="0" t="n">
        <v>0.193</v>
      </c>
      <c r="O194" s="8" t="n">
        <f aca="false">ROUND(I194+L194,2)</f>
        <v>11.34</v>
      </c>
      <c r="P194" s="8" t="n">
        <f aca="false">ROUND(J194+M194,2)</f>
        <v>3.52</v>
      </c>
      <c r="Q194" s="8" t="n">
        <f aca="false">ROUND(K194+N194,2)</f>
        <v>4.79</v>
      </c>
    </row>
    <row r="195" customFormat="false" ht="15" hidden="false" customHeight="false" outlineLevel="0" collapsed="false">
      <c r="A195" s="0" t="s">
        <v>428</v>
      </c>
      <c r="B195" s="0" t="s">
        <v>184</v>
      </c>
      <c r="C195" s="0" t="s">
        <v>184</v>
      </c>
      <c r="D195" s="0" t="s">
        <v>234</v>
      </c>
      <c r="E195" s="3" t="s">
        <v>212</v>
      </c>
      <c r="G195" s="8" t="s">
        <v>235</v>
      </c>
      <c r="H195" s="0" t="n">
        <v>25</v>
      </c>
      <c r="I195" s="0" t="n">
        <v>10.7</v>
      </c>
      <c r="J195" s="0" t="n">
        <v>7</v>
      </c>
      <c r="K195" s="0" t="n">
        <v>2</v>
      </c>
      <c r="L195" s="0" t="n">
        <v>0.642</v>
      </c>
      <c r="M195" s="0" t="n">
        <v>0.42</v>
      </c>
      <c r="N195" s="0" t="n">
        <v>0.093</v>
      </c>
      <c r="O195" s="8" t="n">
        <f aca="false">ROUND(I195+L195,2)</f>
        <v>11.34</v>
      </c>
      <c r="P195" s="8" t="n">
        <f aca="false">ROUND(J195+M195,2)</f>
        <v>7.42</v>
      </c>
      <c r="Q195" s="8" t="n">
        <f aca="false">ROUND(K195+N195,2)</f>
        <v>2.09</v>
      </c>
    </row>
    <row r="196" customFormat="false" ht="15" hidden="false" customHeight="false" outlineLevel="0" collapsed="false">
      <c r="A196" s="0" t="s">
        <v>429</v>
      </c>
      <c r="B196" s="0" t="s">
        <v>79</v>
      </c>
      <c r="C196" s="0" t="s">
        <v>79</v>
      </c>
      <c r="D196" s="0" t="s">
        <v>243</v>
      </c>
      <c r="E196" s="3" t="s">
        <v>212</v>
      </c>
      <c r="G196" s="8" t="s">
        <v>235</v>
      </c>
      <c r="H196" s="0" t="n">
        <v>22.1</v>
      </c>
      <c r="I196" s="0" t="n">
        <v>10.6</v>
      </c>
      <c r="J196" s="0" t="n">
        <v>5.7</v>
      </c>
      <c r="K196" s="0" t="n">
        <v>1.7</v>
      </c>
      <c r="L196" s="0" t="n">
        <v>0.636</v>
      </c>
      <c r="M196" s="0" t="n">
        <v>0.342</v>
      </c>
      <c r="N196" s="0" t="n">
        <v>0.102</v>
      </c>
      <c r="O196" s="8" t="n">
        <f aca="false">ROUND(I196+L196,2)</f>
        <v>11.24</v>
      </c>
      <c r="P196" s="8" t="n">
        <f aca="false">ROUND(J196+M196,2)</f>
        <v>6.04</v>
      </c>
      <c r="Q196" s="8" t="n">
        <f aca="false">ROUND(K196+N196,2)</f>
        <v>1.8</v>
      </c>
    </row>
    <row r="197" customFormat="false" ht="15" hidden="false" customHeight="false" outlineLevel="0" collapsed="false">
      <c r="A197" s="0" t="s">
        <v>430</v>
      </c>
      <c r="B197" s="0" t="s">
        <v>102</v>
      </c>
      <c r="C197" s="0" t="s">
        <v>106</v>
      </c>
      <c r="D197" s="0" t="s">
        <v>239</v>
      </c>
      <c r="E197" s="3" t="s">
        <v>211</v>
      </c>
      <c r="F197" s="8" t="s">
        <v>212</v>
      </c>
      <c r="G197" s="8" t="s">
        <v>235</v>
      </c>
      <c r="H197" s="0" t="n">
        <v>20</v>
      </c>
      <c r="I197" s="0" t="n">
        <v>10.5</v>
      </c>
      <c r="J197" s="0" t="n">
        <v>6.1</v>
      </c>
      <c r="K197" s="0" t="n">
        <v>1.4</v>
      </c>
      <c r="L197" s="0" t="n">
        <v>0</v>
      </c>
      <c r="M197" s="0" t="n">
        <v>0</v>
      </c>
      <c r="N197" s="0" t="n">
        <v>0</v>
      </c>
      <c r="O197" s="8" t="n">
        <f aca="false">ROUND(I197+L197,2)</f>
        <v>10.5</v>
      </c>
      <c r="P197" s="8" t="n">
        <f aca="false">ROUND(J197+M197,2)</f>
        <v>6.1</v>
      </c>
      <c r="Q197" s="8" t="n">
        <f aca="false">ROUND(K197+N197,2)</f>
        <v>1.4</v>
      </c>
    </row>
    <row r="198" customFormat="false" ht="15" hidden="false" customHeight="false" outlineLevel="0" collapsed="false">
      <c r="A198" s="0" t="s">
        <v>431</v>
      </c>
      <c r="B198" s="0" t="s">
        <v>118</v>
      </c>
      <c r="C198" s="0" t="s">
        <v>118</v>
      </c>
      <c r="D198" s="0" t="s">
        <v>243</v>
      </c>
      <c r="E198" s="3" t="s">
        <v>211</v>
      </c>
      <c r="F198" s="8" t="s">
        <v>210</v>
      </c>
      <c r="G198" s="8" t="s">
        <v>235</v>
      </c>
      <c r="H198" s="0" t="n">
        <v>25.8</v>
      </c>
      <c r="I198" s="0" t="n">
        <v>10.5</v>
      </c>
      <c r="J198" s="0" t="n">
        <v>6.3</v>
      </c>
      <c r="K198" s="0" t="n">
        <v>1.5</v>
      </c>
      <c r="L198" s="0" t="n">
        <v>-0.072</v>
      </c>
      <c r="M198" s="0" t="n">
        <v>0.077</v>
      </c>
      <c r="N198" s="0" t="n">
        <v>-0.035</v>
      </c>
      <c r="O198" s="8" t="n">
        <f aca="false">ROUND(I198+L198,2)</f>
        <v>10.43</v>
      </c>
      <c r="P198" s="8" t="n">
        <f aca="false">ROUND(J198+M198,2)</f>
        <v>6.38</v>
      </c>
      <c r="Q198" s="8" t="n">
        <f aca="false">ROUND(K198+N198,2)</f>
        <v>1.47</v>
      </c>
    </row>
    <row r="199" customFormat="false" ht="15" hidden="false" customHeight="false" outlineLevel="0" collapsed="false">
      <c r="A199" s="0" t="s">
        <v>432</v>
      </c>
      <c r="B199" s="0" t="s">
        <v>134</v>
      </c>
      <c r="C199" s="0" t="s">
        <v>134</v>
      </c>
      <c r="D199" s="0" t="s">
        <v>234</v>
      </c>
      <c r="E199" s="3" t="s">
        <v>210</v>
      </c>
      <c r="G199" s="8" t="s">
        <v>396</v>
      </c>
      <c r="H199" s="0" t="n">
        <v>30.1</v>
      </c>
      <c r="I199" s="0" t="n">
        <v>10.4</v>
      </c>
      <c r="J199" s="0" t="n">
        <v>3.1</v>
      </c>
      <c r="K199" s="0" t="n">
        <v>2.4</v>
      </c>
      <c r="L199" s="0" t="n">
        <v>0.565</v>
      </c>
      <c r="M199" s="0" t="n">
        <v>0.186</v>
      </c>
      <c r="N199" s="0" t="n">
        <v>0.144</v>
      </c>
      <c r="O199" s="8" t="n">
        <f aca="false">ROUND(I199+L199,2)</f>
        <v>10.97</v>
      </c>
      <c r="P199" s="8" t="n">
        <f aca="false">ROUND(J199+M199,2)</f>
        <v>3.29</v>
      </c>
      <c r="Q199" s="8" t="n">
        <f aca="false">ROUND(K199+N199,2)</f>
        <v>2.54</v>
      </c>
    </row>
    <row r="200" customFormat="false" ht="15" hidden="false" customHeight="false" outlineLevel="0" collapsed="false">
      <c r="A200" s="0" t="s">
        <v>433</v>
      </c>
      <c r="B200" s="0" t="s">
        <v>142</v>
      </c>
      <c r="C200" s="0" t="s">
        <v>142</v>
      </c>
      <c r="D200" s="0" t="s">
        <v>234</v>
      </c>
      <c r="E200" s="3" t="s">
        <v>209</v>
      </c>
      <c r="G200" s="8" t="s">
        <v>235</v>
      </c>
      <c r="H200" s="0" t="n">
        <v>29.1</v>
      </c>
      <c r="I200" s="0" t="n">
        <v>10.4</v>
      </c>
      <c r="J200" s="0" t="n">
        <v>2.7</v>
      </c>
      <c r="K200" s="0" t="n">
        <v>1.9</v>
      </c>
      <c r="L200" s="0" t="n">
        <v>0.303</v>
      </c>
      <c r="M200" s="0" t="n">
        <v>0.092</v>
      </c>
      <c r="N200" s="0" t="n">
        <v>0.014</v>
      </c>
      <c r="O200" s="8" t="n">
        <f aca="false">ROUND(I200+L200,2)</f>
        <v>10.7</v>
      </c>
      <c r="P200" s="8" t="n">
        <f aca="false">ROUND(J200+M200,2)</f>
        <v>2.79</v>
      </c>
      <c r="Q200" s="8" t="n">
        <f aca="false">ROUND(K200+N200,2)</f>
        <v>1.91</v>
      </c>
    </row>
    <row r="201" customFormat="false" ht="15" hidden="false" customHeight="false" outlineLevel="0" collapsed="false">
      <c r="A201" s="0" t="s">
        <v>434</v>
      </c>
      <c r="B201" s="0" t="s">
        <v>173</v>
      </c>
      <c r="C201" s="0" t="s">
        <v>173</v>
      </c>
      <c r="D201" s="0" t="s">
        <v>234</v>
      </c>
      <c r="E201" s="3" t="s">
        <v>209</v>
      </c>
      <c r="G201" s="8" t="s">
        <v>235</v>
      </c>
      <c r="H201" s="0" t="n">
        <v>20.7</v>
      </c>
      <c r="I201" s="0" t="n">
        <v>10.4</v>
      </c>
      <c r="J201" s="0" t="n">
        <v>2.3</v>
      </c>
      <c r="K201" s="0" t="n">
        <v>2.5</v>
      </c>
      <c r="L201" s="0" t="n">
        <v>0.338</v>
      </c>
      <c r="M201" s="0" t="n">
        <v>0.051</v>
      </c>
      <c r="N201" s="0" t="n">
        <v>-0.055</v>
      </c>
      <c r="O201" s="8" t="n">
        <f aca="false">ROUND(I201+L201,2)</f>
        <v>10.74</v>
      </c>
      <c r="P201" s="8" t="n">
        <f aca="false">ROUND(J201+M201,2)</f>
        <v>2.35</v>
      </c>
      <c r="Q201" s="8" t="n">
        <f aca="false">ROUND(K201+N201,2)</f>
        <v>2.45</v>
      </c>
    </row>
    <row r="202" customFormat="false" ht="15" hidden="false" customHeight="false" outlineLevel="0" collapsed="false">
      <c r="A202" s="0" t="s">
        <v>435</v>
      </c>
      <c r="B202" s="0" t="s">
        <v>134</v>
      </c>
      <c r="C202" s="0" t="s">
        <v>134</v>
      </c>
      <c r="D202" s="0" t="s">
        <v>234</v>
      </c>
      <c r="E202" s="3" t="s">
        <v>210</v>
      </c>
      <c r="G202" s="8" t="s">
        <v>396</v>
      </c>
      <c r="H202" s="0" t="n">
        <v>32</v>
      </c>
      <c r="I202" s="0" t="n">
        <v>10.4</v>
      </c>
      <c r="J202" s="0" t="n">
        <v>5.4</v>
      </c>
      <c r="K202" s="0" t="n">
        <v>2.6</v>
      </c>
      <c r="L202" s="0" t="n">
        <v>0.456</v>
      </c>
      <c r="M202" s="0" t="n">
        <v>0.324</v>
      </c>
      <c r="N202" s="0" t="n">
        <v>0.142</v>
      </c>
      <c r="O202" s="8" t="n">
        <f aca="false">ROUND(I202+L202,2)</f>
        <v>10.86</v>
      </c>
      <c r="P202" s="8" t="n">
        <f aca="false">ROUND(J202+M202,2)</f>
        <v>5.72</v>
      </c>
      <c r="Q202" s="8" t="n">
        <f aca="false">ROUND(K202+N202,2)</f>
        <v>2.74</v>
      </c>
    </row>
    <row r="203" customFormat="false" ht="15" hidden="false" customHeight="false" outlineLevel="0" collapsed="false">
      <c r="A203" s="0" t="s">
        <v>436</v>
      </c>
      <c r="B203" s="0" t="s">
        <v>87</v>
      </c>
      <c r="C203" s="0" t="s">
        <v>87</v>
      </c>
      <c r="D203" s="0" t="s">
        <v>234</v>
      </c>
      <c r="E203" s="3" t="s">
        <v>208</v>
      </c>
      <c r="F203" s="8" t="s">
        <v>209</v>
      </c>
      <c r="G203" s="8" t="s">
        <v>235</v>
      </c>
      <c r="H203" s="0" t="n">
        <v>25.2</v>
      </c>
      <c r="I203" s="0" t="n">
        <v>10.3</v>
      </c>
      <c r="J203" s="0" t="n">
        <v>3.2</v>
      </c>
      <c r="K203" s="0" t="n">
        <v>3.3</v>
      </c>
      <c r="L203" s="0" t="n">
        <v>0.43</v>
      </c>
      <c r="M203" s="0" t="n">
        <v>0.096</v>
      </c>
      <c r="N203" s="0" t="n">
        <v>0.134</v>
      </c>
      <c r="O203" s="8" t="n">
        <f aca="false">ROUND(I203+L203,2)</f>
        <v>10.73</v>
      </c>
      <c r="P203" s="8" t="n">
        <f aca="false">ROUND(J203+M203,2)</f>
        <v>3.3</v>
      </c>
      <c r="Q203" s="8" t="n">
        <f aca="false">ROUND(K203+N203,2)</f>
        <v>3.43</v>
      </c>
    </row>
    <row r="204" customFormat="false" ht="15" hidden="false" customHeight="false" outlineLevel="0" collapsed="false">
      <c r="A204" s="0" t="s">
        <v>437</v>
      </c>
      <c r="B204" s="0" t="s">
        <v>177</v>
      </c>
      <c r="C204" s="0" t="s">
        <v>177</v>
      </c>
      <c r="D204" s="0" t="s">
        <v>234</v>
      </c>
      <c r="E204" s="3" t="s">
        <v>210</v>
      </c>
      <c r="F204" s="8" t="s">
        <v>209</v>
      </c>
      <c r="G204" s="8" t="s">
        <v>235</v>
      </c>
      <c r="H204" s="0" t="n">
        <v>20</v>
      </c>
      <c r="I204" s="0" t="n">
        <v>10.3</v>
      </c>
      <c r="J204" s="0" t="n">
        <v>1.7</v>
      </c>
      <c r="K204" s="0" t="n">
        <v>0.3</v>
      </c>
      <c r="L204" s="0" t="n">
        <v>0.618</v>
      </c>
      <c r="M204" s="0" t="n">
        <v>0.101</v>
      </c>
      <c r="N204" s="0" t="n">
        <v>0.018</v>
      </c>
      <c r="O204" s="8" t="n">
        <f aca="false">ROUND(I204+L204,2)</f>
        <v>10.92</v>
      </c>
      <c r="P204" s="8" t="n">
        <f aca="false">ROUND(J204+M204,2)</f>
        <v>1.8</v>
      </c>
      <c r="Q204" s="8" t="n">
        <f aca="false">ROUND(K204+N204,2)</f>
        <v>0.32</v>
      </c>
    </row>
    <row r="205" customFormat="false" ht="15" hidden="false" customHeight="false" outlineLevel="0" collapsed="false">
      <c r="A205" s="0" t="s">
        <v>438</v>
      </c>
      <c r="B205" s="0" t="s">
        <v>192</v>
      </c>
      <c r="C205" s="0" t="s">
        <v>192</v>
      </c>
      <c r="D205" s="0" t="s">
        <v>234</v>
      </c>
      <c r="E205" s="3" t="s">
        <v>210</v>
      </c>
      <c r="G205" s="8" t="s">
        <v>235</v>
      </c>
      <c r="H205" s="0" t="n">
        <v>22.1</v>
      </c>
      <c r="I205" s="0" t="n">
        <v>10.3</v>
      </c>
      <c r="J205" s="0" t="n">
        <v>2.9</v>
      </c>
      <c r="K205" s="0" t="n">
        <v>2</v>
      </c>
      <c r="L205" s="0" t="n">
        <v>0.618</v>
      </c>
      <c r="M205" s="0" t="n">
        <v>0.153</v>
      </c>
      <c r="N205" s="0" t="n">
        <v>0.12</v>
      </c>
      <c r="O205" s="8" t="n">
        <f aca="false">ROUND(I205+L205,2)</f>
        <v>10.92</v>
      </c>
      <c r="P205" s="8" t="n">
        <f aca="false">ROUND(J205+M205,2)</f>
        <v>3.05</v>
      </c>
      <c r="Q205" s="8" t="n">
        <f aca="false">ROUND(K205+N205,2)</f>
        <v>2.12</v>
      </c>
    </row>
    <row r="206" customFormat="false" ht="15" hidden="false" customHeight="false" outlineLevel="0" collapsed="false">
      <c r="A206" s="0" t="s">
        <v>439</v>
      </c>
      <c r="B206" s="0" t="s">
        <v>102</v>
      </c>
      <c r="C206" s="0" t="s">
        <v>192</v>
      </c>
      <c r="D206" s="0" t="s">
        <v>239</v>
      </c>
      <c r="E206" s="3" t="s">
        <v>210</v>
      </c>
      <c r="G206" s="8" t="s">
        <v>235</v>
      </c>
      <c r="H206" s="0" t="n">
        <v>22.8</v>
      </c>
      <c r="I206" s="0" t="n">
        <v>10.2</v>
      </c>
      <c r="J206" s="0" t="n">
        <v>3.7</v>
      </c>
      <c r="K206" s="0" t="n">
        <v>2.8</v>
      </c>
      <c r="L206" s="0" t="n">
        <v>0.612</v>
      </c>
      <c r="M206" s="0" t="n">
        <v>0.188</v>
      </c>
      <c r="N206" s="0" t="n">
        <v>0.164</v>
      </c>
      <c r="O206" s="8" t="n">
        <f aca="false">ROUND(I206+L206,2)</f>
        <v>10.81</v>
      </c>
      <c r="P206" s="8" t="n">
        <f aca="false">ROUND(J206+M206,2)</f>
        <v>3.89</v>
      </c>
      <c r="Q206" s="8" t="n">
        <f aca="false">ROUND(K206+N206,2)</f>
        <v>2.96</v>
      </c>
    </row>
    <row r="207" customFormat="false" ht="15" hidden="false" customHeight="false" outlineLevel="0" collapsed="false">
      <c r="A207" s="0" t="s">
        <v>440</v>
      </c>
      <c r="B207" s="0" t="s">
        <v>83</v>
      </c>
      <c r="C207" s="0" t="s">
        <v>83</v>
      </c>
      <c r="D207" s="0" t="s">
        <v>243</v>
      </c>
      <c r="E207" s="3" t="s">
        <v>212</v>
      </c>
      <c r="G207" s="8" t="s">
        <v>235</v>
      </c>
      <c r="H207" s="0" t="n">
        <v>25.3</v>
      </c>
      <c r="I207" s="0" t="n">
        <v>10.2</v>
      </c>
      <c r="J207" s="0" t="n">
        <v>8.4</v>
      </c>
      <c r="K207" s="0" t="n">
        <v>1.7</v>
      </c>
      <c r="L207" s="0" t="n">
        <v>0.612</v>
      </c>
      <c r="M207" s="0" t="n">
        <v>0.471</v>
      </c>
      <c r="N207" s="0" t="n">
        <v>0.102</v>
      </c>
      <c r="O207" s="8" t="n">
        <f aca="false">ROUND(I207+L207,2)</f>
        <v>10.81</v>
      </c>
      <c r="P207" s="8" t="n">
        <f aca="false">ROUND(J207+M207,2)</f>
        <v>8.87</v>
      </c>
      <c r="Q207" s="8" t="n">
        <f aca="false">ROUND(K207+N207,2)</f>
        <v>1.8</v>
      </c>
    </row>
    <row r="208" customFormat="false" ht="15" hidden="false" customHeight="false" outlineLevel="0" collapsed="false">
      <c r="A208" s="0" t="s">
        <v>441</v>
      </c>
      <c r="B208" s="0" t="s">
        <v>102</v>
      </c>
      <c r="C208" s="0" t="s">
        <v>134</v>
      </c>
      <c r="D208" s="0" t="s">
        <v>239</v>
      </c>
      <c r="E208" s="3" t="s">
        <v>208</v>
      </c>
      <c r="G208" s="8" t="s">
        <v>235</v>
      </c>
      <c r="H208" s="0" t="n">
        <v>19</v>
      </c>
      <c r="I208" s="0" t="n">
        <v>10.2</v>
      </c>
      <c r="J208" s="0" t="n">
        <v>2.3</v>
      </c>
      <c r="K208" s="0" t="n">
        <v>4</v>
      </c>
      <c r="L208" s="0" t="n">
        <v>0</v>
      </c>
      <c r="M208" s="0" t="n">
        <v>0</v>
      </c>
      <c r="N208" s="0" t="n">
        <v>0</v>
      </c>
      <c r="O208" s="8" t="n">
        <f aca="false">ROUND(I208+L208,2)</f>
        <v>10.2</v>
      </c>
      <c r="P208" s="8" t="n">
        <f aca="false">ROUND(J208+M208,2)</f>
        <v>2.3</v>
      </c>
      <c r="Q208" s="8" t="n">
        <f aca="false">ROUND(K208+N208,2)</f>
        <v>4</v>
      </c>
    </row>
    <row r="209" customFormat="false" ht="15" hidden="false" customHeight="false" outlineLevel="0" collapsed="false">
      <c r="A209" s="0" t="s">
        <v>442</v>
      </c>
      <c r="B209" s="0" t="s">
        <v>94</v>
      </c>
      <c r="C209" s="0" t="s">
        <v>94</v>
      </c>
      <c r="D209" s="0" t="s">
        <v>234</v>
      </c>
      <c r="E209" s="3" t="s">
        <v>212</v>
      </c>
      <c r="F209" s="8" t="s">
        <v>211</v>
      </c>
      <c r="G209" s="8" t="s">
        <v>235</v>
      </c>
      <c r="H209" s="0" t="n">
        <v>20.7</v>
      </c>
      <c r="I209" s="0" t="n">
        <v>10.2</v>
      </c>
      <c r="J209" s="0" t="n">
        <v>6.7</v>
      </c>
      <c r="K209" s="0" t="n">
        <v>1.2</v>
      </c>
      <c r="L209" s="0" t="n">
        <v>0.612</v>
      </c>
      <c r="M209" s="0" t="n">
        <v>0.402</v>
      </c>
      <c r="N209" s="0" t="n">
        <v>0.072</v>
      </c>
      <c r="O209" s="8" t="n">
        <f aca="false">ROUND(I209+L209,2)</f>
        <v>10.81</v>
      </c>
      <c r="P209" s="8" t="n">
        <f aca="false">ROUND(J209+M209,2)</f>
        <v>7.1</v>
      </c>
      <c r="Q209" s="8" t="n">
        <f aca="false">ROUND(K209+N209,2)</f>
        <v>1.27</v>
      </c>
    </row>
    <row r="210" customFormat="false" ht="15" hidden="false" customHeight="false" outlineLevel="0" collapsed="false">
      <c r="A210" s="0" t="s">
        <v>443</v>
      </c>
      <c r="B210" s="0" t="s">
        <v>87</v>
      </c>
      <c r="C210" s="0" t="s">
        <v>130</v>
      </c>
      <c r="D210" s="0" t="s">
        <v>239</v>
      </c>
      <c r="E210" s="3" t="s">
        <v>210</v>
      </c>
      <c r="G210" s="8" t="s">
        <v>235</v>
      </c>
      <c r="H210" s="0" t="n">
        <v>22.9</v>
      </c>
      <c r="I210" s="0" t="n">
        <v>10.2</v>
      </c>
      <c r="J210" s="0" t="n">
        <v>2.4</v>
      </c>
      <c r="K210" s="0" t="n">
        <v>1.1</v>
      </c>
      <c r="L210" s="0" t="n">
        <v>0</v>
      </c>
      <c r="M210" s="0" t="n">
        <v>0</v>
      </c>
      <c r="N210" s="0" t="n">
        <v>0</v>
      </c>
      <c r="O210" s="8" t="n">
        <f aca="false">ROUND(I210+L210,2)</f>
        <v>10.2</v>
      </c>
      <c r="P210" s="8" t="n">
        <f aca="false">ROUND(J210+M210,2)</f>
        <v>2.4</v>
      </c>
      <c r="Q210" s="8" t="n">
        <f aca="false">ROUND(K210+N210,2)</f>
        <v>1.1</v>
      </c>
    </row>
    <row r="211" customFormat="false" ht="15" hidden="false" customHeight="false" outlineLevel="0" collapsed="false">
      <c r="A211" s="0" t="s">
        <v>444</v>
      </c>
      <c r="B211" s="0" t="s">
        <v>177</v>
      </c>
      <c r="C211" s="0" t="s">
        <v>177</v>
      </c>
      <c r="D211" s="0" t="s">
        <v>243</v>
      </c>
      <c r="E211" s="3" t="s">
        <v>211</v>
      </c>
      <c r="F211" s="8" t="s">
        <v>212</v>
      </c>
      <c r="G211" s="8" t="s">
        <v>235</v>
      </c>
      <c r="H211" s="0" t="n">
        <v>23.9</v>
      </c>
      <c r="I211" s="0" t="n">
        <v>10.1</v>
      </c>
      <c r="J211" s="0" t="n">
        <v>6.7</v>
      </c>
      <c r="K211" s="0" t="n">
        <v>1.4</v>
      </c>
      <c r="L211" s="0" t="n">
        <v>0.606</v>
      </c>
      <c r="M211" s="0" t="n">
        <v>0.319</v>
      </c>
      <c r="N211" s="0" t="n">
        <v>0.084</v>
      </c>
      <c r="O211" s="8" t="n">
        <f aca="false">ROUND(I211+L211,2)</f>
        <v>10.71</v>
      </c>
      <c r="P211" s="8" t="n">
        <f aca="false">ROUND(J211+M211,2)</f>
        <v>7.02</v>
      </c>
      <c r="Q211" s="8" t="n">
        <f aca="false">ROUND(K211+N211,2)</f>
        <v>1.48</v>
      </c>
    </row>
    <row r="212" customFormat="false" ht="15" hidden="false" customHeight="false" outlineLevel="0" collapsed="false">
      <c r="A212" s="0" t="s">
        <v>445</v>
      </c>
      <c r="B212" s="0" t="s">
        <v>126</v>
      </c>
      <c r="C212" s="0" t="s">
        <v>126</v>
      </c>
      <c r="D212" s="0" t="s">
        <v>234</v>
      </c>
      <c r="E212" s="3" t="s">
        <v>210</v>
      </c>
      <c r="F212" s="8" t="s">
        <v>211</v>
      </c>
      <c r="G212" s="8" t="s">
        <v>235</v>
      </c>
      <c r="H212" s="0" t="n">
        <v>27</v>
      </c>
      <c r="I212" s="0" t="n">
        <v>10.1</v>
      </c>
      <c r="J212" s="0" t="n">
        <v>3.5</v>
      </c>
      <c r="K212" s="0" t="n">
        <v>1.4</v>
      </c>
      <c r="L212" s="0" t="n">
        <v>0.606</v>
      </c>
      <c r="M212" s="0" t="n">
        <v>0.21</v>
      </c>
      <c r="N212" s="0" t="n">
        <v>0.084</v>
      </c>
      <c r="O212" s="8" t="n">
        <f aca="false">ROUND(I212+L212,2)</f>
        <v>10.71</v>
      </c>
      <c r="P212" s="8" t="n">
        <f aca="false">ROUND(J212+M212,2)</f>
        <v>3.71</v>
      </c>
      <c r="Q212" s="8" t="n">
        <f aca="false">ROUND(K212+N212,2)</f>
        <v>1.48</v>
      </c>
    </row>
    <row r="213" customFormat="false" ht="15" hidden="false" customHeight="false" outlineLevel="0" collapsed="false">
      <c r="A213" s="0" t="s">
        <v>446</v>
      </c>
      <c r="B213" s="0" t="s">
        <v>110</v>
      </c>
      <c r="C213" s="0" t="s">
        <v>110</v>
      </c>
      <c r="D213" s="0" t="s">
        <v>243</v>
      </c>
      <c r="E213" s="3" t="s">
        <v>209</v>
      </c>
      <c r="F213" s="8" t="s">
        <v>210</v>
      </c>
      <c r="G213" s="8" t="s">
        <v>235</v>
      </c>
      <c r="H213" s="0" t="n">
        <v>22.4</v>
      </c>
      <c r="I213" s="0" t="n">
        <v>10</v>
      </c>
      <c r="J213" s="0" t="n">
        <v>3.5</v>
      </c>
      <c r="K213" s="0" t="n">
        <v>2.6</v>
      </c>
      <c r="L213" s="0" t="n">
        <v>0.6</v>
      </c>
      <c r="M213" s="0" t="n">
        <v>0.21</v>
      </c>
      <c r="N213" s="0" t="n">
        <v>0.156</v>
      </c>
      <c r="O213" s="8" t="n">
        <f aca="false">ROUND(I213+L213,2)</f>
        <v>10.6</v>
      </c>
      <c r="P213" s="8" t="n">
        <f aca="false">ROUND(J213+M213,2)</f>
        <v>3.71</v>
      </c>
      <c r="Q213" s="8" t="n">
        <f aca="false">ROUND(K213+N213,2)</f>
        <v>2.76</v>
      </c>
    </row>
    <row r="214" customFormat="false" ht="15" hidden="false" customHeight="false" outlineLevel="0" collapsed="false">
      <c r="A214" s="0" t="s">
        <v>447</v>
      </c>
      <c r="B214" s="0" t="s">
        <v>126</v>
      </c>
      <c r="C214" s="0" t="s">
        <v>126</v>
      </c>
      <c r="D214" s="0" t="s">
        <v>243</v>
      </c>
      <c r="E214" s="3" t="s">
        <v>210</v>
      </c>
      <c r="G214" s="8" t="s">
        <v>235</v>
      </c>
      <c r="H214" s="0" t="n">
        <v>22.1</v>
      </c>
      <c r="I214" s="0" t="n">
        <v>10</v>
      </c>
      <c r="J214" s="0" t="n">
        <v>3</v>
      </c>
      <c r="K214" s="0" t="n">
        <v>2.3</v>
      </c>
      <c r="L214" s="0" t="n">
        <v>0.6</v>
      </c>
      <c r="M214" s="0" t="n">
        <v>0.18</v>
      </c>
      <c r="N214" s="0" t="n">
        <v>0.138</v>
      </c>
      <c r="O214" s="8" t="n">
        <f aca="false">ROUND(I214+L214,2)</f>
        <v>10.6</v>
      </c>
      <c r="P214" s="8" t="n">
        <f aca="false">ROUND(J214+M214,2)</f>
        <v>3.18</v>
      </c>
      <c r="Q214" s="8" t="n">
        <f aca="false">ROUND(K214+N214,2)</f>
        <v>2.44</v>
      </c>
    </row>
    <row r="215" customFormat="false" ht="15" hidden="false" customHeight="false" outlineLevel="0" collapsed="false">
      <c r="A215" s="0" t="s">
        <v>448</v>
      </c>
      <c r="B215" s="0" t="s">
        <v>134</v>
      </c>
      <c r="C215" s="0" t="s">
        <v>134</v>
      </c>
      <c r="D215" s="0" t="s">
        <v>234</v>
      </c>
      <c r="E215" s="3" t="s">
        <v>210</v>
      </c>
      <c r="G215" s="8" t="s">
        <v>396</v>
      </c>
      <c r="H215" s="0" t="n">
        <v>36.2</v>
      </c>
      <c r="I215" s="0" t="n">
        <v>10</v>
      </c>
      <c r="J215" s="0" t="n">
        <v>3.5</v>
      </c>
      <c r="K215" s="0" t="n">
        <v>1</v>
      </c>
      <c r="L215" s="0" t="n">
        <v>0.208</v>
      </c>
      <c r="M215" s="0" t="n">
        <v>0.1</v>
      </c>
      <c r="N215" s="0" t="n">
        <v>0.026</v>
      </c>
      <c r="O215" s="8" t="n">
        <f aca="false">ROUND(I215+L215,2)</f>
        <v>10.21</v>
      </c>
      <c r="P215" s="8" t="n">
        <f aca="false">ROUND(J215+M215,2)</f>
        <v>3.6</v>
      </c>
      <c r="Q215" s="8" t="n">
        <f aca="false">ROUND(K215+N215,2)</f>
        <v>1.03</v>
      </c>
    </row>
    <row r="216" customFormat="false" ht="15" hidden="false" customHeight="false" outlineLevel="0" collapsed="false">
      <c r="A216" s="0" t="s">
        <v>449</v>
      </c>
      <c r="B216" s="0" t="s">
        <v>134</v>
      </c>
      <c r="C216" s="0" t="s">
        <v>134</v>
      </c>
      <c r="D216" s="0" t="s">
        <v>234</v>
      </c>
      <c r="E216" s="3" t="s">
        <v>210</v>
      </c>
      <c r="F216" s="8" t="s">
        <v>211</v>
      </c>
      <c r="G216" s="8" t="s">
        <v>235</v>
      </c>
      <c r="H216" s="0" t="n">
        <v>18.6</v>
      </c>
      <c r="I216" s="0" t="n">
        <v>10</v>
      </c>
      <c r="J216" s="0" t="n">
        <v>3.5</v>
      </c>
      <c r="K216" s="0" t="n">
        <v>1</v>
      </c>
      <c r="L216" s="0" t="n">
        <v>0.6</v>
      </c>
      <c r="M216" s="0" t="n">
        <v>0.21</v>
      </c>
      <c r="N216" s="0" t="n">
        <v>0.06</v>
      </c>
      <c r="O216" s="8" t="n">
        <f aca="false">ROUND(I216+L216,2)</f>
        <v>10.6</v>
      </c>
      <c r="P216" s="8" t="n">
        <f aca="false">ROUND(J216+M216,2)</f>
        <v>3.71</v>
      </c>
      <c r="Q216" s="8" t="n">
        <f aca="false">ROUND(K216+N216,2)</f>
        <v>1.06</v>
      </c>
    </row>
    <row r="217" customFormat="false" ht="15" hidden="false" customHeight="false" outlineLevel="0" collapsed="false">
      <c r="A217" s="0" t="s">
        <v>450</v>
      </c>
      <c r="B217" s="0" t="s">
        <v>110</v>
      </c>
      <c r="C217" s="0" t="s">
        <v>134</v>
      </c>
      <c r="D217" s="0" t="s">
        <v>239</v>
      </c>
      <c r="E217" s="3" t="s">
        <v>212</v>
      </c>
      <c r="F217" s="8" t="s">
        <v>211</v>
      </c>
      <c r="G217" s="8" t="s">
        <v>235</v>
      </c>
      <c r="H217" s="0" t="n">
        <v>22.7</v>
      </c>
      <c r="I217" s="0" t="n">
        <v>10</v>
      </c>
      <c r="J217" s="0" t="n">
        <v>5</v>
      </c>
      <c r="K217" s="0" t="n">
        <v>1.1</v>
      </c>
      <c r="L217" s="0" t="n">
        <v>0</v>
      </c>
      <c r="M217" s="0" t="n">
        <v>0</v>
      </c>
      <c r="N217" s="0" t="n">
        <v>0</v>
      </c>
      <c r="O217" s="8" t="n">
        <f aca="false">ROUND(I217+L217,2)</f>
        <v>10</v>
      </c>
      <c r="P217" s="8" t="n">
        <f aca="false">ROUND(J217+M217,2)</f>
        <v>5</v>
      </c>
      <c r="Q217" s="8" t="n">
        <f aca="false">ROUND(K217+N217,2)</f>
        <v>1.1</v>
      </c>
    </row>
    <row r="218" customFormat="false" ht="15" hidden="false" customHeight="false" outlineLevel="0" collapsed="false">
      <c r="A218" s="0" t="s">
        <v>451</v>
      </c>
      <c r="B218" s="0" t="s">
        <v>180</v>
      </c>
      <c r="C218" s="0" t="s">
        <v>180</v>
      </c>
      <c r="D218" s="0" t="s">
        <v>243</v>
      </c>
      <c r="E218" s="3" t="s">
        <v>211</v>
      </c>
      <c r="F218" s="8" t="s">
        <v>210</v>
      </c>
      <c r="G218" s="8" t="s">
        <v>235</v>
      </c>
      <c r="H218" s="0" t="n">
        <v>25.8</v>
      </c>
      <c r="I218" s="0" t="n">
        <v>9.9</v>
      </c>
      <c r="J218" s="0" t="n">
        <v>2.8</v>
      </c>
      <c r="K218" s="0" t="n">
        <v>1.9</v>
      </c>
      <c r="L218" s="0" t="n">
        <v>-0.097</v>
      </c>
      <c r="M218" s="0" t="n">
        <v>-0.008</v>
      </c>
      <c r="N218" s="0" t="n">
        <v>-0.011</v>
      </c>
      <c r="O218" s="8" t="n">
        <f aca="false">ROUND(I218+L218,2)</f>
        <v>9.8</v>
      </c>
      <c r="P218" s="8" t="n">
        <f aca="false">ROUND(J218+M218,2)</f>
        <v>2.79</v>
      </c>
      <c r="Q218" s="8" t="n">
        <f aca="false">ROUND(K218+N218,2)</f>
        <v>1.89</v>
      </c>
    </row>
    <row r="219" customFormat="false" ht="15" hidden="false" customHeight="false" outlineLevel="0" collapsed="false">
      <c r="A219" s="0" t="s">
        <v>452</v>
      </c>
      <c r="B219" s="0" t="s">
        <v>161</v>
      </c>
      <c r="C219" s="0" t="s">
        <v>161</v>
      </c>
      <c r="D219" s="0" t="s">
        <v>234</v>
      </c>
      <c r="E219" s="3" t="s">
        <v>210</v>
      </c>
      <c r="F219" s="8" t="s">
        <v>211</v>
      </c>
      <c r="G219" s="8" t="s">
        <v>235</v>
      </c>
      <c r="H219" s="0" t="n">
        <v>24.7</v>
      </c>
      <c r="I219" s="0" t="n">
        <v>9.9</v>
      </c>
      <c r="J219" s="0" t="n">
        <v>3.7</v>
      </c>
      <c r="K219" s="0" t="n">
        <v>1.6</v>
      </c>
      <c r="L219" s="0" t="n">
        <v>0.019</v>
      </c>
      <c r="M219" s="0" t="n">
        <v>-0.016</v>
      </c>
      <c r="N219" s="0" t="n">
        <v>0.021</v>
      </c>
      <c r="O219" s="8" t="n">
        <f aca="false">ROUND(I219+L219,2)</f>
        <v>9.92</v>
      </c>
      <c r="P219" s="8" t="n">
        <f aca="false">ROUND(J219+M219,2)</f>
        <v>3.68</v>
      </c>
      <c r="Q219" s="8" t="n">
        <f aca="false">ROUND(K219+N219,2)</f>
        <v>1.62</v>
      </c>
    </row>
    <row r="220" customFormat="false" ht="15" hidden="false" customHeight="false" outlineLevel="0" collapsed="false">
      <c r="A220" s="0" t="s">
        <v>453</v>
      </c>
      <c r="B220" s="0" t="s">
        <v>110</v>
      </c>
      <c r="C220" s="0" t="s">
        <v>110</v>
      </c>
      <c r="D220" s="0" t="s">
        <v>243</v>
      </c>
      <c r="E220" s="3" t="s">
        <v>210</v>
      </c>
      <c r="G220" s="8" t="s">
        <v>235</v>
      </c>
      <c r="H220" s="0" t="n">
        <v>26</v>
      </c>
      <c r="I220" s="0" t="n">
        <v>9.9</v>
      </c>
      <c r="J220" s="0" t="n">
        <v>5.7</v>
      </c>
      <c r="K220" s="0" t="n">
        <v>3.1</v>
      </c>
      <c r="L220" s="0" t="n">
        <v>0.575</v>
      </c>
      <c r="M220" s="0" t="n">
        <v>0.286</v>
      </c>
      <c r="N220" s="0" t="n">
        <v>0.186</v>
      </c>
      <c r="O220" s="8" t="n">
        <f aca="false">ROUND(I220+L220,2)</f>
        <v>10.48</v>
      </c>
      <c r="P220" s="8" t="n">
        <f aca="false">ROUND(J220+M220,2)</f>
        <v>5.99</v>
      </c>
      <c r="Q220" s="8" t="n">
        <f aca="false">ROUND(K220+N220,2)</f>
        <v>3.29</v>
      </c>
    </row>
    <row r="221" customFormat="false" ht="15" hidden="false" customHeight="false" outlineLevel="0" collapsed="false">
      <c r="A221" s="0" t="s">
        <v>454</v>
      </c>
      <c r="B221" s="0" t="s">
        <v>169</v>
      </c>
      <c r="C221" s="0" t="s">
        <v>91</v>
      </c>
      <c r="D221" s="0" t="s">
        <v>239</v>
      </c>
      <c r="E221" s="3" t="s">
        <v>210</v>
      </c>
      <c r="G221" s="8" t="s">
        <v>235</v>
      </c>
      <c r="H221" s="0" t="n">
        <v>28.4</v>
      </c>
      <c r="I221" s="0" t="n">
        <v>9.8</v>
      </c>
      <c r="J221" s="0" t="n">
        <v>4.8</v>
      </c>
      <c r="K221" s="0" t="n">
        <v>2.7</v>
      </c>
      <c r="L221" s="0" t="n">
        <v>0</v>
      </c>
      <c r="M221" s="0" t="n">
        <v>0</v>
      </c>
      <c r="N221" s="0" t="n">
        <v>0</v>
      </c>
      <c r="O221" s="8" t="n">
        <f aca="false">ROUND(I221+L221,2)</f>
        <v>9.8</v>
      </c>
      <c r="P221" s="8" t="n">
        <f aca="false">ROUND(J221+M221,2)</f>
        <v>4.8</v>
      </c>
      <c r="Q221" s="8" t="n">
        <f aca="false">ROUND(K221+N221,2)</f>
        <v>2.7</v>
      </c>
    </row>
    <row r="222" customFormat="false" ht="15" hidden="false" customHeight="false" outlineLevel="0" collapsed="false">
      <c r="A222" s="0" t="s">
        <v>455</v>
      </c>
      <c r="B222" s="0" t="s">
        <v>94</v>
      </c>
      <c r="C222" s="0" t="s">
        <v>94</v>
      </c>
      <c r="D222" s="0" t="s">
        <v>243</v>
      </c>
      <c r="E222" s="3" t="s">
        <v>212</v>
      </c>
      <c r="F222" s="8" t="s">
        <v>211</v>
      </c>
      <c r="G222" s="8" t="s">
        <v>235</v>
      </c>
      <c r="H222" s="0" t="n">
        <v>18.4</v>
      </c>
      <c r="I222" s="0" t="n">
        <v>9.7</v>
      </c>
      <c r="J222" s="0" t="n">
        <v>5.6</v>
      </c>
      <c r="K222" s="0" t="n">
        <v>1.5</v>
      </c>
      <c r="L222" s="0" t="n">
        <v>0.582</v>
      </c>
      <c r="M222" s="0" t="n">
        <v>0.336</v>
      </c>
      <c r="N222" s="0" t="n">
        <v>0.09</v>
      </c>
      <c r="O222" s="8" t="n">
        <f aca="false">ROUND(I222+L222,2)</f>
        <v>10.28</v>
      </c>
      <c r="P222" s="8" t="n">
        <f aca="false">ROUND(J222+M222,2)</f>
        <v>5.94</v>
      </c>
      <c r="Q222" s="8" t="n">
        <f aca="false">ROUND(K222+N222,2)</f>
        <v>1.59</v>
      </c>
    </row>
    <row r="223" customFormat="false" ht="15" hidden="false" customHeight="false" outlineLevel="0" collapsed="false">
      <c r="A223" s="0" t="s">
        <v>456</v>
      </c>
      <c r="B223" s="0" t="s">
        <v>122</v>
      </c>
      <c r="C223" s="0" t="s">
        <v>173</v>
      </c>
      <c r="D223" s="0" t="s">
        <v>239</v>
      </c>
      <c r="E223" s="3" t="s">
        <v>211</v>
      </c>
      <c r="F223" s="8" t="s">
        <v>212</v>
      </c>
      <c r="G223" s="8" t="s">
        <v>235</v>
      </c>
      <c r="H223" s="0" t="n">
        <v>19.3</v>
      </c>
      <c r="I223" s="0" t="n">
        <v>9.7</v>
      </c>
      <c r="J223" s="0" t="n">
        <v>5</v>
      </c>
      <c r="K223" s="0" t="n">
        <v>1.5</v>
      </c>
      <c r="L223" s="0" t="n">
        <v>0</v>
      </c>
      <c r="M223" s="0" t="n">
        <v>0</v>
      </c>
      <c r="N223" s="0" t="n">
        <v>0</v>
      </c>
      <c r="O223" s="8" t="n">
        <f aca="false">ROUND(I223+L223,2)</f>
        <v>9.7</v>
      </c>
      <c r="P223" s="8" t="n">
        <f aca="false">ROUND(J223+M223,2)</f>
        <v>5</v>
      </c>
      <c r="Q223" s="8" t="n">
        <f aca="false">ROUND(K223+N223,2)</f>
        <v>1.5</v>
      </c>
    </row>
    <row r="224" customFormat="false" ht="15" hidden="false" customHeight="false" outlineLevel="0" collapsed="false">
      <c r="A224" s="0" t="s">
        <v>457</v>
      </c>
      <c r="B224" s="0" t="s">
        <v>134</v>
      </c>
      <c r="C224" s="0" t="s">
        <v>134</v>
      </c>
      <c r="D224" s="0" t="s">
        <v>234</v>
      </c>
      <c r="E224" s="3" t="s">
        <v>208</v>
      </c>
      <c r="G224" s="8" t="s">
        <v>235</v>
      </c>
      <c r="H224" s="0" t="n">
        <v>20.2</v>
      </c>
      <c r="I224" s="0" t="n">
        <v>9.7</v>
      </c>
      <c r="J224" s="0" t="n">
        <v>3.1</v>
      </c>
      <c r="K224" s="0" t="n">
        <v>3.7</v>
      </c>
      <c r="L224" s="0" t="n">
        <v>0.582</v>
      </c>
      <c r="M224" s="0" t="n">
        <v>0.186</v>
      </c>
      <c r="N224" s="0" t="n">
        <v>0.222</v>
      </c>
      <c r="O224" s="8" t="n">
        <f aca="false">ROUND(I224+L224,2)</f>
        <v>10.28</v>
      </c>
      <c r="P224" s="8" t="n">
        <f aca="false">ROUND(J224+M224,2)</f>
        <v>3.29</v>
      </c>
      <c r="Q224" s="8" t="n">
        <f aca="false">ROUND(K224+N224,2)</f>
        <v>3.92</v>
      </c>
    </row>
    <row r="225" customFormat="false" ht="15" hidden="false" customHeight="false" outlineLevel="0" collapsed="false">
      <c r="A225" s="0" t="s">
        <v>458</v>
      </c>
      <c r="B225" s="0" t="s">
        <v>79</v>
      </c>
      <c r="C225" s="0" t="s">
        <v>102</v>
      </c>
      <c r="D225" s="0" t="s">
        <v>239</v>
      </c>
      <c r="E225" s="3" t="s">
        <v>210</v>
      </c>
      <c r="G225" s="8" t="s">
        <v>235</v>
      </c>
      <c r="H225" s="0" t="n">
        <v>22.4</v>
      </c>
      <c r="I225" s="0" t="n">
        <v>9.6</v>
      </c>
      <c r="J225" s="0" t="n">
        <v>3.8</v>
      </c>
      <c r="K225" s="0" t="n">
        <v>1.1</v>
      </c>
      <c r="L225" s="0" t="n">
        <v>0</v>
      </c>
      <c r="M225" s="0" t="n">
        <v>0</v>
      </c>
      <c r="N225" s="0" t="n">
        <v>0</v>
      </c>
      <c r="O225" s="8" t="n">
        <f aca="false">ROUND(I225+L225,2)</f>
        <v>9.6</v>
      </c>
      <c r="P225" s="8" t="n">
        <f aca="false">ROUND(J225+M225,2)</f>
        <v>3.8</v>
      </c>
      <c r="Q225" s="8" t="n">
        <f aca="false">ROUND(K225+N225,2)</f>
        <v>1.1</v>
      </c>
    </row>
    <row r="226" customFormat="false" ht="15" hidden="false" customHeight="false" outlineLevel="0" collapsed="false">
      <c r="A226" s="0" t="s">
        <v>459</v>
      </c>
      <c r="B226" s="0" t="s">
        <v>102</v>
      </c>
      <c r="C226" s="0" t="s">
        <v>102</v>
      </c>
      <c r="D226" s="0" t="s">
        <v>234</v>
      </c>
      <c r="E226" s="3" t="s">
        <v>212</v>
      </c>
      <c r="G226" s="8" t="s">
        <v>235</v>
      </c>
      <c r="H226" s="0" t="n">
        <v>21.7</v>
      </c>
      <c r="I226" s="0" t="n">
        <v>9.5</v>
      </c>
      <c r="J226" s="0" t="n">
        <v>6.9</v>
      </c>
      <c r="K226" s="0" t="n">
        <v>1.1</v>
      </c>
      <c r="L226" s="0" t="n">
        <v>0.57</v>
      </c>
      <c r="M226" s="0" t="n">
        <v>0.414</v>
      </c>
      <c r="N226" s="0" t="n">
        <v>0.066</v>
      </c>
      <c r="O226" s="8" t="n">
        <f aca="false">ROUND(I226+L226,2)</f>
        <v>10.07</v>
      </c>
      <c r="P226" s="8" t="n">
        <f aca="false">ROUND(J226+M226,2)</f>
        <v>7.31</v>
      </c>
      <c r="Q226" s="8" t="n">
        <f aca="false">ROUND(K226+N226,2)</f>
        <v>1.17</v>
      </c>
    </row>
    <row r="227" customFormat="false" ht="15" hidden="false" customHeight="false" outlineLevel="0" collapsed="false">
      <c r="A227" s="0" t="s">
        <v>460</v>
      </c>
      <c r="B227" s="0" t="s">
        <v>122</v>
      </c>
      <c r="C227" s="0" t="s">
        <v>122</v>
      </c>
      <c r="D227" s="0" t="s">
        <v>234</v>
      </c>
      <c r="E227" s="3" t="s">
        <v>212</v>
      </c>
      <c r="G227" s="8" t="s">
        <v>235</v>
      </c>
      <c r="H227" s="0" t="n">
        <v>21</v>
      </c>
      <c r="I227" s="0" t="n">
        <v>9.5</v>
      </c>
      <c r="J227" s="0" t="n">
        <v>4</v>
      </c>
      <c r="K227" s="0" t="n">
        <v>1.5</v>
      </c>
      <c r="L227" s="0" t="n">
        <v>0.57</v>
      </c>
      <c r="M227" s="0" t="n">
        <v>0.24</v>
      </c>
      <c r="N227" s="0" t="n">
        <v>0.09</v>
      </c>
      <c r="O227" s="8" t="n">
        <f aca="false">ROUND(I227+L227,2)</f>
        <v>10.07</v>
      </c>
      <c r="P227" s="8" t="n">
        <f aca="false">ROUND(J227+M227,2)</f>
        <v>4.24</v>
      </c>
      <c r="Q227" s="8" t="n">
        <f aca="false">ROUND(K227+N227,2)</f>
        <v>1.59</v>
      </c>
    </row>
    <row r="228" customFormat="false" ht="15" hidden="false" customHeight="false" outlineLevel="0" collapsed="false">
      <c r="A228" s="0" t="s">
        <v>461</v>
      </c>
      <c r="B228" s="0" t="s">
        <v>122</v>
      </c>
      <c r="C228" s="0" t="s">
        <v>122</v>
      </c>
      <c r="D228" s="0" t="s">
        <v>234</v>
      </c>
      <c r="E228" s="3" t="s">
        <v>208</v>
      </c>
      <c r="G228" s="8" t="s">
        <v>235</v>
      </c>
      <c r="H228" s="0" t="n">
        <v>17.2</v>
      </c>
      <c r="I228" s="0" t="n">
        <v>9.4</v>
      </c>
      <c r="J228" s="0" t="n">
        <v>2.2</v>
      </c>
      <c r="K228" s="0" t="n">
        <v>5.1</v>
      </c>
      <c r="L228" s="0" t="n">
        <v>0.564</v>
      </c>
      <c r="M228" s="0" t="n">
        <v>0.132</v>
      </c>
      <c r="N228" s="0" t="n">
        <v>0.306</v>
      </c>
      <c r="O228" s="8" t="n">
        <f aca="false">ROUND(I228+L228,2)</f>
        <v>9.96</v>
      </c>
      <c r="P228" s="8" t="n">
        <f aca="false">ROUND(J228+M228,2)</f>
        <v>2.33</v>
      </c>
      <c r="Q228" s="8" t="n">
        <f aca="false">ROUND(K228+N228,2)</f>
        <v>5.41</v>
      </c>
    </row>
    <row r="229" customFormat="false" ht="15" hidden="false" customHeight="false" outlineLevel="0" collapsed="false">
      <c r="A229" s="0" t="s">
        <v>462</v>
      </c>
      <c r="B229" s="0" t="s">
        <v>188</v>
      </c>
      <c r="C229" s="0" t="s">
        <v>188</v>
      </c>
      <c r="D229" s="0" t="s">
        <v>234</v>
      </c>
      <c r="E229" s="3" t="s">
        <v>210</v>
      </c>
      <c r="F229" s="8" t="s">
        <v>209</v>
      </c>
      <c r="G229" s="8" t="s">
        <v>235</v>
      </c>
      <c r="H229" s="0" t="n">
        <v>23.1</v>
      </c>
      <c r="I229" s="0" t="n">
        <v>9.4</v>
      </c>
      <c r="J229" s="0" t="n">
        <v>2.5</v>
      </c>
      <c r="K229" s="0" t="n">
        <v>1.9</v>
      </c>
      <c r="L229" s="0" t="n">
        <v>0.564</v>
      </c>
      <c r="M229" s="0" t="n">
        <v>0.15</v>
      </c>
      <c r="N229" s="0" t="n">
        <v>0.114</v>
      </c>
      <c r="O229" s="8" t="n">
        <f aca="false">ROUND(I229+L229,2)</f>
        <v>9.96</v>
      </c>
      <c r="P229" s="8" t="n">
        <f aca="false">ROUND(J229+M229,2)</f>
        <v>2.65</v>
      </c>
      <c r="Q229" s="8" t="n">
        <f aca="false">ROUND(K229+N229,2)</f>
        <v>2.01</v>
      </c>
    </row>
    <row r="230" customFormat="false" ht="15" hidden="false" customHeight="false" outlineLevel="0" collapsed="false">
      <c r="A230" s="0" t="s">
        <v>463</v>
      </c>
      <c r="B230" s="0" t="s">
        <v>158</v>
      </c>
      <c r="C230" s="0" t="s">
        <v>79</v>
      </c>
      <c r="D230" s="0" t="s">
        <v>239</v>
      </c>
      <c r="E230" s="3" t="s">
        <v>209</v>
      </c>
      <c r="F230" s="8" t="s">
        <v>210</v>
      </c>
      <c r="G230" s="8" t="s">
        <v>235</v>
      </c>
      <c r="H230" s="0" t="n">
        <v>21.8</v>
      </c>
      <c r="I230" s="0" t="n">
        <v>9.4</v>
      </c>
      <c r="J230" s="0" t="n">
        <v>3.1</v>
      </c>
      <c r="K230" s="0" t="n">
        <v>1.7</v>
      </c>
      <c r="L230" s="0" t="n">
        <v>0</v>
      </c>
      <c r="M230" s="0" t="n">
        <v>0</v>
      </c>
      <c r="N230" s="0" t="n">
        <v>0</v>
      </c>
      <c r="O230" s="8" t="n">
        <f aca="false">ROUND(I230+L230,2)</f>
        <v>9.4</v>
      </c>
      <c r="P230" s="8" t="n">
        <f aca="false">ROUND(J230+M230,2)</f>
        <v>3.1</v>
      </c>
      <c r="Q230" s="8" t="n">
        <f aca="false">ROUND(K230+N230,2)</f>
        <v>1.7</v>
      </c>
    </row>
    <row r="231" customFormat="false" ht="15" hidden="false" customHeight="false" outlineLevel="0" collapsed="false">
      <c r="A231" s="0" t="s">
        <v>464</v>
      </c>
      <c r="B231" s="0" t="s">
        <v>110</v>
      </c>
      <c r="C231" s="0" t="s">
        <v>110</v>
      </c>
      <c r="D231" s="0" t="s">
        <v>234</v>
      </c>
      <c r="E231" s="3" t="s">
        <v>208</v>
      </c>
      <c r="G231" s="8" t="s">
        <v>235</v>
      </c>
      <c r="H231" s="0" t="n">
        <v>20.2</v>
      </c>
      <c r="I231" s="0" t="n">
        <v>9.3</v>
      </c>
      <c r="J231" s="0" t="n">
        <v>2.3</v>
      </c>
      <c r="K231" s="0" t="n">
        <v>3.9</v>
      </c>
      <c r="L231" s="0" t="n">
        <v>0.558</v>
      </c>
      <c r="M231" s="0" t="n">
        <v>0.138</v>
      </c>
      <c r="N231" s="0" t="n">
        <v>0.234</v>
      </c>
      <c r="O231" s="8" t="n">
        <f aca="false">ROUND(I231+L231,2)</f>
        <v>9.86</v>
      </c>
      <c r="P231" s="8" t="n">
        <f aca="false">ROUND(J231+M231,2)</f>
        <v>2.44</v>
      </c>
      <c r="Q231" s="8" t="n">
        <f aca="false">ROUND(K231+N231,2)</f>
        <v>4.13</v>
      </c>
    </row>
    <row r="232" customFormat="false" ht="15" hidden="false" customHeight="false" outlineLevel="0" collapsed="false">
      <c r="A232" s="0" t="s">
        <v>465</v>
      </c>
      <c r="B232" s="0" t="s">
        <v>138</v>
      </c>
      <c r="C232" s="0" t="s">
        <v>138</v>
      </c>
      <c r="D232" s="0" t="s">
        <v>234</v>
      </c>
      <c r="E232" s="3" t="s">
        <v>208</v>
      </c>
      <c r="G232" s="8" t="s">
        <v>235</v>
      </c>
      <c r="H232" s="0" t="n">
        <v>28.6</v>
      </c>
      <c r="I232" s="0" t="n">
        <v>9.3</v>
      </c>
      <c r="J232" s="0" t="n">
        <v>2.7</v>
      </c>
      <c r="K232" s="0" t="n">
        <v>6.5</v>
      </c>
      <c r="L232" s="0" t="n">
        <v>0.558</v>
      </c>
      <c r="M232" s="0" t="n">
        <v>0.162</v>
      </c>
      <c r="N232" s="0" t="n">
        <v>0.39</v>
      </c>
      <c r="O232" s="8" t="n">
        <f aca="false">ROUND(I232+L232,2)</f>
        <v>9.86</v>
      </c>
      <c r="P232" s="8" t="n">
        <f aca="false">ROUND(J232+M232,2)</f>
        <v>2.86</v>
      </c>
      <c r="Q232" s="8" t="n">
        <f aca="false">ROUND(K232+N232,2)</f>
        <v>6.89</v>
      </c>
    </row>
    <row r="233" customFormat="false" ht="15" hidden="false" customHeight="false" outlineLevel="0" collapsed="false">
      <c r="A233" s="0" t="s">
        <v>466</v>
      </c>
      <c r="B233" s="0" t="s">
        <v>94</v>
      </c>
      <c r="C233" s="0" t="s">
        <v>94</v>
      </c>
      <c r="D233" s="0" t="s">
        <v>234</v>
      </c>
      <c r="E233" s="3" t="s">
        <v>210</v>
      </c>
      <c r="G233" s="8" t="s">
        <v>235</v>
      </c>
      <c r="H233" s="0" t="n">
        <v>26.9</v>
      </c>
      <c r="I233" s="0" t="n">
        <v>9.3</v>
      </c>
      <c r="J233" s="0" t="n">
        <v>2.7</v>
      </c>
      <c r="K233" s="0" t="n">
        <v>1.6</v>
      </c>
      <c r="L233" s="0" t="n">
        <v>0.558</v>
      </c>
      <c r="M233" s="0" t="n">
        <v>0.162</v>
      </c>
      <c r="N233" s="0" t="n">
        <v>0.096</v>
      </c>
      <c r="O233" s="8" t="n">
        <f aca="false">ROUND(I233+L233,2)</f>
        <v>9.86</v>
      </c>
      <c r="P233" s="8" t="n">
        <f aca="false">ROUND(J233+M233,2)</f>
        <v>2.86</v>
      </c>
      <c r="Q233" s="8" t="n">
        <f aca="false">ROUND(K233+N233,2)</f>
        <v>1.7</v>
      </c>
    </row>
    <row r="234" customFormat="false" ht="15" hidden="false" customHeight="false" outlineLevel="0" collapsed="false">
      <c r="A234" s="0" t="s">
        <v>467</v>
      </c>
      <c r="B234" s="0" t="s">
        <v>154</v>
      </c>
      <c r="C234" s="0" t="s">
        <v>154</v>
      </c>
      <c r="D234" s="0" t="s">
        <v>243</v>
      </c>
      <c r="E234" s="3" t="s">
        <v>209</v>
      </c>
      <c r="G234" s="8" t="s">
        <v>235</v>
      </c>
      <c r="H234" s="0" t="n">
        <v>23</v>
      </c>
      <c r="I234" s="0" t="n">
        <v>9.3</v>
      </c>
      <c r="J234" s="0" t="n">
        <v>1.8</v>
      </c>
      <c r="K234" s="0" t="n">
        <v>1.4</v>
      </c>
      <c r="L234" s="0" t="n">
        <v>0.062</v>
      </c>
      <c r="M234" s="0" t="n">
        <v>0.075</v>
      </c>
      <c r="N234" s="0" t="n">
        <v>0.002</v>
      </c>
      <c r="O234" s="8" t="n">
        <f aca="false">ROUND(I234+L234,2)</f>
        <v>9.36</v>
      </c>
      <c r="P234" s="8" t="n">
        <f aca="false">ROUND(J234+M234,2)</f>
        <v>1.88</v>
      </c>
      <c r="Q234" s="8" t="n">
        <f aca="false">ROUND(K234+N234,2)</f>
        <v>1.4</v>
      </c>
    </row>
    <row r="235" customFormat="false" ht="15" hidden="false" customHeight="false" outlineLevel="0" collapsed="false">
      <c r="A235" s="0" t="s">
        <v>468</v>
      </c>
      <c r="B235" s="0" t="s">
        <v>130</v>
      </c>
      <c r="C235" s="0" t="s">
        <v>118</v>
      </c>
      <c r="D235" s="0" t="s">
        <v>239</v>
      </c>
      <c r="E235" s="3" t="s">
        <v>208</v>
      </c>
      <c r="F235" s="8" t="s">
        <v>209</v>
      </c>
      <c r="G235" s="8" t="s">
        <v>235</v>
      </c>
      <c r="H235" s="0" t="n">
        <v>28.5</v>
      </c>
      <c r="I235" s="0" t="n">
        <v>9.3</v>
      </c>
      <c r="J235" s="0" t="n">
        <v>2.8</v>
      </c>
      <c r="K235" s="0" t="n">
        <v>3</v>
      </c>
      <c r="L235" s="0" t="n">
        <v>0</v>
      </c>
      <c r="M235" s="0" t="n">
        <v>0</v>
      </c>
      <c r="N235" s="0" t="n">
        <v>0</v>
      </c>
      <c r="O235" s="8" t="n">
        <f aca="false">ROUND(I235+L235,2)</f>
        <v>9.3</v>
      </c>
      <c r="P235" s="8" t="n">
        <f aca="false">ROUND(J235+M235,2)</f>
        <v>2.8</v>
      </c>
      <c r="Q235" s="8" t="n">
        <f aca="false">ROUND(K235+N235,2)</f>
        <v>3</v>
      </c>
    </row>
    <row r="236" customFormat="false" ht="15" hidden="false" customHeight="false" outlineLevel="0" collapsed="false">
      <c r="A236" s="0" t="s">
        <v>469</v>
      </c>
      <c r="B236" s="0" t="s">
        <v>192</v>
      </c>
      <c r="C236" s="0" t="s">
        <v>130</v>
      </c>
      <c r="D236" s="0" t="s">
        <v>239</v>
      </c>
      <c r="E236" s="3" t="s">
        <v>209</v>
      </c>
      <c r="G236" s="8" t="s">
        <v>235</v>
      </c>
      <c r="H236" s="0" t="n">
        <v>15.8</v>
      </c>
      <c r="I236" s="0" t="n">
        <v>9.2</v>
      </c>
      <c r="J236" s="0" t="n">
        <v>1.5</v>
      </c>
      <c r="K236" s="0" t="n">
        <v>1</v>
      </c>
      <c r="L236" s="0" t="n">
        <v>0</v>
      </c>
      <c r="M236" s="0" t="n">
        <v>0</v>
      </c>
      <c r="N236" s="0" t="n">
        <v>0</v>
      </c>
      <c r="O236" s="8" t="n">
        <f aca="false">ROUND(I236+L236,2)</f>
        <v>9.2</v>
      </c>
      <c r="P236" s="8" t="n">
        <f aca="false">ROUND(J236+M236,2)</f>
        <v>1.5</v>
      </c>
      <c r="Q236" s="8" t="n">
        <f aca="false">ROUND(K236+N236,2)</f>
        <v>1</v>
      </c>
    </row>
    <row r="237" customFormat="false" ht="15" hidden="false" customHeight="false" outlineLevel="0" collapsed="false">
      <c r="A237" s="0" t="s">
        <v>470</v>
      </c>
      <c r="B237" s="0" t="s">
        <v>158</v>
      </c>
      <c r="C237" s="0" t="s">
        <v>158</v>
      </c>
      <c r="D237" s="0" t="s">
        <v>243</v>
      </c>
      <c r="E237" s="3" t="s">
        <v>212</v>
      </c>
      <c r="G237" s="8" t="s">
        <v>235</v>
      </c>
      <c r="H237" s="0" t="n">
        <v>24.2</v>
      </c>
      <c r="I237" s="0" t="n">
        <v>9.2</v>
      </c>
      <c r="J237" s="0" t="n">
        <v>9.4</v>
      </c>
      <c r="K237" s="0" t="n">
        <v>3.5</v>
      </c>
      <c r="L237" s="0" t="n">
        <v>0.552</v>
      </c>
      <c r="M237" s="0" t="n">
        <v>0.564</v>
      </c>
      <c r="N237" s="0" t="n">
        <v>0.184</v>
      </c>
      <c r="O237" s="8" t="n">
        <f aca="false">ROUND(I237+L237,2)</f>
        <v>9.75</v>
      </c>
      <c r="P237" s="8" t="n">
        <f aca="false">ROUND(J237+M237,2)</f>
        <v>9.96</v>
      </c>
      <c r="Q237" s="8" t="n">
        <f aca="false">ROUND(K237+N237,2)</f>
        <v>3.68</v>
      </c>
    </row>
    <row r="238" customFormat="false" ht="15" hidden="false" customHeight="false" outlineLevel="0" collapsed="false">
      <c r="A238" s="0" t="s">
        <v>471</v>
      </c>
      <c r="B238" s="0" t="s">
        <v>83</v>
      </c>
      <c r="C238" s="0" t="s">
        <v>83</v>
      </c>
      <c r="D238" s="0" t="s">
        <v>234</v>
      </c>
      <c r="E238" s="3" t="s">
        <v>210</v>
      </c>
      <c r="F238" s="8" t="s">
        <v>211</v>
      </c>
      <c r="G238" s="8" t="s">
        <v>235</v>
      </c>
      <c r="H238" s="0" t="n">
        <v>24.8</v>
      </c>
      <c r="I238" s="0" t="n">
        <v>9.2</v>
      </c>
      <c r="J238" s="0" t="n">
        <v>3.8</v>
      </c>
      <c r="K238" s="0" t="n">
        <v>1.5</v>
      </c>
      <c r="L238" s="0" t="n">
        <v>0.552</v>
      </c>
      <c r="M238" s="0" t="n">
        <v>0.22</v>
      </c>
      <c r="N238" s="0" t="n">
        <v>0.09</v>
      </c>
      <c r="O238" s="8" t="n">
        <f aca="false">ROUND(I238+L238,2)</f>
        <v>9.75</v>
      </c>
      <c r="P238" s="8" t="n">
        <f aca="false">ROUND(J238+M238,2)</f>
        <v>4.02</v>
      </c>
      <c r="Q238" s="8" t="n">
        <f aca="false">ROUND(K238+N238,2)</f>
        <v>1.59</v>
      </c>
    </row>
    <row r="239" customFormat="false" ht="15" hidden="false" customHeight="false" outlineLevel="0" collapsed="false">
      <c r="A239" s="0" t="s">
        <v>472</v>
      </c>
      <c r="B239" s="0" t="s">
        <v>79</v>
      </c>
      <c r="C239" s="0" t="s">
        <v>79</v>
      </c>
      <c r="D239" s="0" t="s">
        <v>234</v>
      </c>
      <c r="E239" s="3" t="s">
        <v>210</v>
      </c>
      <c r="G239" s="8" t="s">
        <v>235</v>
      </c>
      <c r="H239" s="0" t="n">
        <v>18.6</v>
      </c>
      <c r="I239" s="0" t="n">
        <v>9.2</v>
      </c>
      <c r="J239" s="0" t="n">
        <v>2.3</v>
      </c>
      <c r="K239" s="0" t="n">
        <v>1.6</v>
      </c>
      <c r="L239" s="0" t="n">
        <v>0.552</v>
      </c>
      <c r="M239" s="0" t="n">
        <v>0.138</v>
      </c>
      <c r="N239" s="0" t="n">
        <v>0.096</v>
      </c>
      <c r="O239" s="8" t="n">
        <f aca="false">ROUND(I239+L239,2)</f>
        <v>9.75</v>
      </c>
      <c r="P239" s="8" t="n">
        <f aca="false">ROUND(J239+M239,2)</f>
        <v>2.44</v>
      </c>
      <c r="Q239" s="8" t="n">
        <f aca="false">ROUND(K239+N239,2)</f>
        <v>1.7</v>
      </c>
    </row>
    <row r="240" customFormat="false" ht="15" hidden="false" customHeight="false" outlineLevel="0" collapsed="false">
      <c r="A240" s="0" t="s">
        <v>473</v>
      </c>
      <c r="B240" s="0" t="s">
        <v>142</v>
      </c>
      <c r="C240" s="0" t="s">
        <v>110</v>
      </c>
      <c r="D240" s="0" t="s">
        <v>239</v>
      </c>
      <c r="E240" s="3" t="s">
        <v>210</v>
      </c>
      <c r="G240" s="8" t="s">
        <v>235</v>
      </c>
      <c r="H240" s="0" t="n">
        <v>23.5</v>
      </c>
      <c r="I240" s="0" t="n">
        <v>9.2</v>
      </c>
      <c r="J240" s="0" t="n">
        <v>3.1</v>
      </c>
      <c r="K240" s="0" t="n">
        <v>1.8</v>
      </c>
      <c r="L240" s="0" t="n">
        <v>0</v>
      </c>
      <c r="M240" s="0" t="n">
        <v>0</v>
      </c>
      <c r="N240" s="0" t="n">
        <v>0</v>
      </c>
      <c r="O240" s="8" t="n">
        <f aca="false">ROUND(I240+L240,2)</f>
        <v>9.2</v>
      </c>
      <c r="P240" s="8" t="n">
        <f aca="false">ROUND(J240+M240,2)</f>
        <v>3.1</v>
      </c>
      <c r="Q240" s="8" t="n">
        <f aca="false">ROUND(K240+N240,2)</f>
        <v>1.8</v>
      </c>
    </row>
    <row r="241" customFormat="false" ht="15" hidden="false" customHeight="false" outlineLevel="0" collapsed="false">
      <c r="A241" s="0" t="s">
        <v>474</v>
      </c>
      <c r="B241" s="0" t="s">
        <v>114</v>
      </c>
      <c r="C241" s="0" t="s">
        <v>114</v>
      </c>
      <c r="D241" s="0" t="s">
        <v>234</v>
      </c>
      <c r="E241" s="3" t="s">
        <v>210</v>
      </c>
      <c r="G241" s="8" t="s">
        <v>235</v>
      </c>
      <c r="H241" s="0" t="n">
        <v>20.5</v>
      </c>
      <c r="I241" s="0" t="n">
        <v>9.2</v>
      </c>
      <c r="J241" s="0" t="n">
        <v>3.9</v>
      </c>
      <c r="K241" s="0" t="n">
        <v>2.3</v>
      </c>
      <c r="L241" s="0" t="n">
        <v>0.425</v>
      </c>
      <c r="M241" s="0" t="n">
        <v>0.234</v>
      </c>
      <c r="N241" s="0" t="n">
        <v>0.078</v>
      </c>
      <c r="O241" s="8" t="n">
        <f aca="false">ROUND(I241+L241,2)</f>
        <v>9.63</v>
      </c>
      <c r="P241" s="8" t="n">
        <f aca="false">ROUND(J241+M241,2)</f>
        <v>4.13</v>
      </c>
      <c r="Q241" s="8" t="n">
        <f aca="false">ROUND(K241+N241,2)</f>
        <v>2.38</v>
      </c>
    </row>
    <row r="242" customFormat="false" ht="15" hidden="false" customHeight="false" outlineLevel="0" collapsed="false">
      <c r="A242" s="0" t="s">
        <v>475</v>
      </c>
      <c r="B242" s="0" t="s">
        <v>192</v>
      </c>
      <c r="C242" s="0" t="s">
        <v>98</v>
      </c>
      <c r="D242" s="0" t="s">
        <v>239</v>
      </c>
      <c r="E242" s="3" t="s">
        <v>210</v>
      </c>
      <c r="G242" s="8" t="s">
        <v>235</v>
      </c>
      <c r="H242" s="0" t="n">
        <v>16.9</v>
      </c>
      <c r="I242" s="0" t="n">
        <v>9.2</v>
      </c>
      <c r="J242" s="0" t="n">
        <v>2.8</v>
      </c>
      <c r="K242" s="0" t="n">
        <v>0.7</v>
      </c>
      <c r="L242" s="0" t="n">
        <v>0</v>
      </c>
      <c r="M242" s="0" t="n">
        <v>0</v>
      </c>
      <c r="N242" s="0" t="n">
        <v>0</v>
      </c>
      <c r="O242" s="8" t="n">
        <f aca="false">ROUND(I242+L242,2)</f>
        <v>9.2</v>
      </c>
      <c r="P242" s="8" t="n">
        <f aca="false">ROUND(J242+M242,2)</f>
        <v>2.8</v>
      </c>
      <c r="Q242" s="8" t="n">
        <f aca="false">ROUND(K242+N242,2)</f>
        <v>0.7</v>
      </c>
    </row>
    <row r="243" customFormat="false" ht="15" hidden="false" customHeight="false" outlineLevel="0" collapsed="false">
      <c r="A243" s="0" t="s">
        <v>476</v>
      </c>
      <c r="B243" s="0" t="s">
        <v>122</v>
      </c>
      <c r="C243" s="0" t="s">
        <v>122</v>
      </c>
      <c r="D243" s="0" t="s">
        <v>234</v>
      </c>
      <c r="E243" s="3" t="s">
        <v>209</v>
      </c>
      <c r="G243" s="8" t="s">
        <v>235</v>
      </c>
      <c r="H243" s="0" t="n">
        <v>18.3</v>
      </c>
      <c r="I243" s="0" t="n">
        <v>9.1</v>
      </c>
      <c r="J243" s="0" t="n">
        <v>2.3</v>
      </c>
      <c r="K243" s="0" t="n">
        <v>2.9</v>
      </c>
      <c r="L243" s="0" t="n">
        <v>0.546</v>
      </c>
      <c r="M243" s="0" t="n">
        <v>0.138</v>
      </c>
      <c r="N243" s="0" t="n">
        <v>0.174</v>
      </c>
      <c r="O243" s="8" t="n">
        <f aca="false">ROUND(I243+L243,2)</f>
        <v>9.65</v>
      </c>
      <c r="P243" s="8" t="n">
        <f aca="false">ROUND(J243+M243,2)</f>
        <v>2.44</v>
      </c>
      <c r="Q243" s="8" t="n">
        <f aca="false">ROUND(K243+N243,2)</f>
        <v>3.07</v>
      </c>
    </row>
    <row r="244" customFormat="false" ht="15" hidden="false" customHeight="false" outlineLevel="0" collapsed="false">
      <c r="A244" s="0" t="s">
        <v>477</v>
      </c>
      <c r="B244" s="0" t="s">
        <v>192</v>
      </c>
      <c r="C244" s="0" t="s">
        <v>192</v>
      </c>
      <c r="D244" s="0" t="s">
        <v>234</v>
      </c>
      <c r="E244" s="3" t="s">
        <v>211</v>
      </c>
      <c r="G244" s="8" t="s">
        <v>396</v>
      </c>
      <c r="H244" s="0" t="n">
        <v>13.7</v>
      </c>
      <c r="I244" s="0" t="n">
        <v>9</v>
      </c>
      <c r="J244" s="0" t="n">
        <v>3</v>
      </c>
      <c r="K244" s="0" t="n">
        <v>1.1</v>
      </c>
      <c r="L244" s="0" t="n">
        <v>0.54</v>
      </c>
      <c r="M244" s="0" t="n">
        <v>0.18</v>
      </c>
      <c r="N244" s="0" t="n">
        <v>0.066</v>
      </c>
      <c r="O244" s="8" t="n">
        <f aca="false">ROUND(I244+L244,2)</f>
        <v>9.54</v>
      </c>
      <c r="P244" s="8" t="n">
        <f aca="false">ROUND(J244+M244,2)</f>
        <v>3.18</v>
      </c>
      <c r="Q244" s="8" t="n">
        <f aca="false">ROUND(K244+N244,2)</f>
        <v>1.17</v>
      </c>
    </row>
    <row r="245" customFormat="false" ht="15" hidden="false" customHeight="false" outlineLevel="0" collapsed="false">
      <c r="A245" s="0" t="s">
        <v>478</v>
      </c>
      <c r="B245" s="0" t="s">
        <v>177</v>
      </c>
      <c r="C245" s="0" t="s">
        <v>79</v>
      </c>
      <c r="D245" s="0" t="s">
        <v>239</v>
      </c>
      <c r="E245" s="3" t="s">
        <v>208</v>
      </c>
      <c r="G245" s="8" t="s">
        <v>235</v>
      </c>
      <c r="H245" s="0" t="n">
        <v>18.4</v>
      </c>
      <c r="I245" s="0" t="n">
        <v>8.9</v>
      </c>
      <c r="J245" s="0" t="n">
        <v>3.3</v>
      </c>
      <c r="K245" s="0" t="n">
        <v>2.7</v>
      </c>
      <c r="L245" s="0" t="n">
        <v>0</v>
      </c>
      <c r="M245" s="0" t="n">
        <v>0</v>
      </c>
      <c r="N245" s="0" t="n">
        <v>0</v>
      </c>
      <c r="O245" s="8" t="n">
        <f aca="false">ROUND(I245+L245,2)</f>
        <v>8.9</v>
      </c>
      <c r="P245" s="8" t="n">
        <f aca="false">ROUND(J245+M245,2)</f>
        <v>3.3</v>
      </c>
      <c r="Q245" s="8" t="n">
        <f aca="false">ROUND(K245+N245,2)</f>
        <v>2.7</v>
      </c>
    </row>
    <row r="246" customFormat="false" ht="15" hidden="false" customHeight="false" outlineLevel="0" collapsed="false">
      <c r="A246" s="0" t="s">
        <v>479</v>
      </c>
      <c r="B246" s="0" t="s">
        <v>150</v>
      </c>
      <c r="C246" s="0" t="s">
        <v>150</v>
      </c>
      <c r="D246" s="0" t="s">
        <v>234</v>
      </c>
      <c r="E246" s="3" t="s">
        <v>210</v>
      </c>
      <c r="G246" s="8" t="s">
        <v>235</v>
      </c>
      <c r="H246" s="0" t="n">
        <v>28.4</v>
      </c>
      <c r="I246" s="0" t="n">
        <v>8.9</v>
      </c>
      <c r="J246" s="0" t="n">
        <v>3.4</v>
      </c>
      <c r="K246" s="0" t="n">
        <v>2.8</v>
      </c>
      <c r="L246" s="0" t="n">
        <v>0.082</v>
      </c>
      <c r="M246" s="0" t="n">
        <v>0.084</v>
      </c>
      <c r="N246" s="0" t="n">
        <v>0.073</v>
      </c>
      <c r="O246" s="8" t="n">
        <f aca="false">ROUND(I246+L246,2)</f>
        <v>8.98</v>
      </c>
      <c r="P246" s="8" t="n">
        <f aca="false">ROUND(J246+M246,2)</f>
        <v>3.48</v>
      </c>
      <c r="Q246" s="8" t="n">
        <f aca="false">ROUND(K246+N246,2)</f>
        <v>2.87</v>
      </c>
    </row>
    <row r="247" customFormat="false" ht="15" hidden="false" customHeight="false" outlineLevel="0" collapsed="false">
      <c r="A247" s="0" t="s">
        <v>480</v>
      </c>
      <c r="B247" s="0" t="s">
        <v>87</v>
      </c>
      <c r="C247" s="0" t="s">
        <v>87</v>
      </c>
      <c r="D247" s="0" t="s">
        <v>234</v>
      </c>
      <c r="E247" s="3" t="s">
        <v>208</v>
      </c>
      <c r="G247" s="8" t="s">
        <v>235</v>
      </c>
      <c r="H247" s="0" t="n">
        <v>22.2</v>
      </c>
      <c r="I247" s="0" t="n">
        <v>8.9</v>
      </c>
      <c r="J247" s="0" t="n">
        <v>1.8</v>
      </c>
      <c r="K247" s="0" t="n">
        <v>3.8</v>
      </c>
      <c r="L247" s="0" t="n">
        <v>0.447</v>
      </c>
      <c r="M247" s="0" t="n">
        <v>0.065</v>
      </c>
      <c r="N247" s="0" t="n">
        <v>0.186</v>
      </c>
      <c r="O247" s="8" t="n">
        <f aca="false">ROUND(I247+L247,2)</f>
        <v>9.35</v>
      </c>
      <c r="P247" s="8" t="n">
        <f aca="false">ROUND(J247+M247,2)</f>
        <v>1.87</v>
      </c>
      <c r="Q247" s="8" t="n">
        <f aca="false">ROUND(K247+N247,2)</f>
        <v>3.99</v>
      </c>
    </row>
    <row r="248" customFormat="false" ht="15" hidden="false" customHeight="false" outlineLevel="0" collapsed="false">
      <c r="A248" s="0" t="s">
        <v>481</v>
      </c>
      <c r="B248" s="0" t="s">
        <v>87</v>
      </c>
      <c r="C248" s="0" t="s">
        <v>87</v>
      </c>
      <c r="D248" s="0" t="s">
        <v>234</v>
      </c>
      <c r="E248" s="3" t="s">
        <v>212</v>
      </c>
      <c r="F248" s="8" t="s">
        <v>211</v>
      </c>
      <c r="G248" s="8" t="s">
        <v>235</v>
      </c>
      <c r="H248" s="0" t="n">
        <v>20.8</v>
      </c>
      <c r="I248" s="0" t="n">
        <v>8.9</v>
      </c>
      <c r="J248" s="0" t="n">
        <v>4.9</v>
      </c>
      <c r="K248" s="0" t="n">
        <v>2.2</v>
      </c>
      <c r="L248" s="0" t="n">
        <v>0.482</v>
      </c>
      <c r="M248" s="0" t="n">
        <v>0.191</v>
      </c>
      <c r="N248" s="0" t="n">
        <v>0.116</v>
      </c>
      <c r="O248" s="8" t="n">
        <f aca="false">ROUND(I248+L248,2)</f>
        <v>9.38</v>
      </c>
      <c r="P248" s="8" t="n">
        <f aca="false">ROUND(J248+M248,2)</f>
        <v>5.09</v>
      </c>
      <c r="Q248" s="8" t="n">
        <f aca="false">ROUND(K248+N248,2)</f>
        <v>2.32</v>
      </c>
    </row>
    <row r="249" customFormat="false" ht="15" hidden="false" customHeight="false" outlineLevel="0" collapsed="false">
      <c r="A249" s="0" t="s">
        <v>482</v>
      </c>
      <c r="B249" s="0" t="s">
        <v>102</v>
      </c>
      <c r="C249" s="0" t="s">
        <v>102</v>
      </c>
      <c r="D249" s="0" t="s">
        <v>234</v>
      </c>
      <c r="E249" s="3" t="s">
        <v>209</v>
      </c>
      <c r="G249" s="8" t="s">
        <v>235</v>
      </c>
      <c r="H249" s="0" t="n">
        <v>19.5</v>
      </c>
      <c r="I249" s="0" t="n">
        <v>8.8</v>
      </c>
      <c r="J249" s="0" t="n">
        <v>2.3</v>
      </c>
      <c r="K249" s="0" t="n">
        <v>0.8</v>
      </c>
      <c r="L249" s="0" t="n">
        <v>0.528</v>
      </c>
      <c r="M249" s="0" t="n">
        <v>0.138</v>
      </c>
      <c r="N249" s="0" t="n">
        <v>0.048</v>
      </c>
      <c r="O249" s="8" t="n">
        <f aca="false">ROUND(I249+L249,2)</f>
        <v>9.33</v>
      </c>
      <c r="P249" s="8" t="n">
        <f aca="false">ROUND(J249+M249,2)</f>
        <v>2.44</v>
      </c>
      <c r="Q249" s="8" t="n">
        <f aca="false">ROUND(K249+N249,2)</f>
        <v>0.85</v>
      </c>
    </row>
    <row r="250" customFormat="false" ht="15" hidden="false" customHeight="false" outlineLevel="0" collapsed="false">
      <c r="A250" s="0" t="s">
        <v>483</v>
      </c>
      <c r="B250" s="0" t="s">
        <v>158</v>
      </c>
      <c r="C250" s="0" t="s">
        <v>158</v>
      </c>
      <c r="D250" s="0" t="s">
        <v>234</v>
      </c>
      <c r="E250" s="3" t="s">
        <v>210</v>
      </c>
      <c r="G250" s="8" t="s">
        <v>235</v>
      </c>
      <c r="H250" s="0" t="n">
        <v>15.8</v>
      </c>
      <c r="I250" s="0" t="n">
        <v>8.8</v>
      </c>
      <c r="J250" s="0" t="n">
        <v>2.5</v>
      </c>
      <c r="K250" s="0" t="n">
        <v>0</v>
      </c>
      <c r="L250" s="0" t="n">
        <v>0.528</v>
      </c>
      <c r="M250" s="0" t="n">
        <v>0.15</v>
      </c>
      <c r="N250" s="0" t="n">
        <v>0</v>
      </c>
      <c r="O250" s="8" t="n">
        <f aca="false">ROUND(I250+L250,2)</f>
        <v>9.33</v>
      </c>
      <c r="P250" s="8" t="n">
        <f aca="false">ROUND(J250+M250,2)</f>
        <v>2.65</v>
      </c>
      <c r="Q250" s="8" t="n">
        <f aca="false">ROUND(K250+N250,2)</f>
        <v>0</v>
      </c>
    </row>
    <row r="251" customFormat="false" ht="15" hidden="false" customHeight="false" outlineLevel="0" collapsed="false">
      <c r="A251" s="0" t="s">
        <v>484</v>
      </c>
      <c r="B251" s="0" t="s">
        <v>188</v>
      </c>
      <c r="C251" s="0" t="s">
        <v>146</v>
      </c>
      <c r="D251" s="0" t="s">
        <v>239</v>
      </c>
      <c r="E251" s="3" t="s">
        <v>210</v>
      </c>
      <c r="G251" s="8" t="s">
        <v>235</v>
      </c>
      <c r="H251" s="0" t="n">
        <v>24.3</v>
      </c>
      <c r="I251" s="0" t="n">
        <v>8.8</v>
      </c>
      <c r="J251" s="0" t="n">
        <v>3</v>
      </c>
      <c r="K251" s="0" t="n">
        <v>2</v>
      </c>
      <c r="L251" s="0" t="n">
        <v>0</v>
      </c>
      <c r="M251" s="0" t="n">
        <v>0</v>
      </c>
      <c r="N251" s="0" t="n">
        <v>0</v>
      </c>
      <c r="O251" s="8" t="n">
        <f aca="false">ROUND(I251+L251,2)</f>
        <v>8.8</v>
      </c>
      <c r="P251" s="8" t="n">
        <f aca="false">ROUND(J251+M251,2)</f>
        <v>3</v>
      </c>
      <c r="Q251" s="8" t="n">
        <f aca="false">ROUND(K251+N251,2)</f>
        <v>2</v>
      </c>
    </row>
    <row r="252" customFormat="false" ht="15" hidden="false" customHeight="false" outlineLevel="0" collapsed="false">
      <c r="A252" s="0" t="s">
        <v>485</v>
      </c>
      <c r="B252" s="0" t="s">
        <v>192</v>
      </c>
      <c r="C252" s="0" t="s">
        <v>192</v>
      </c>
      <c r="D252" s="0" t="s">
        <v>234</v>
      </c>
      <c r="E252" s="3" t="s">
        <v>210</v>
      </c>
      <c r="G252" s="8" t="s">
        <v>235</v>
      </c>
      <c r="H252" s="0" t="n">
        <v>20</v>
      </c>
      <c r="I252" s="0" t="n">
        <v>8.7</v>
      </c>
      <c r="J252" s="0" t="n">
        <v>5.6</v>
      </c>
      <c r="K252" s="0" t="n">
        <v>1.2</v>
      </c>
      <c r="L252" s="0" t="n">
        <v>0.522</v>
      </c>
      <c r="M252" s="0" t="n">
        <v>0.331</v>
      </c>
      <c r="N252" s="0" t="n">
        <v>0.072</v>
      </c>
      <c r="O252" s="8" t="n">
        <f aca="false">ROUND(I252+L252,2)</f>
        <v>9.22</v>
      </c>
      <c r="P252" s="8" t="n">
        <f aca="false">ROUND(J252+M252,2)</f>
        <v>5.93</v>
      </c>
      <c r="Q252" s="8" t="n">
        <f aca="false">ROUND(K252+N252,2)</f>
        <v>1.27</v>
      </c>
    </row>
    <row r="253" customFormat="false" ht="15" hidden="false" customHeight="false" outlineLevel="0" collapsed="false">
      <c r="A253" s="0" t="s">
        <v>486</v>
      </c>
      <c r="B253" s="0" t="s">
        <v>169</v>
      </c>
      <c r="C253" s="0" t="s">
        <v>169</v>
      </c>
      <c r="D253" s="0" t="s">
        <v>243</v>
      </c>
      <c r="E253" s="3" t="s">
        <v>209</v>
      </c>
      <c r="F253" s="8" t="s">
        <v>208</v>
      </c>
      <c r="G253" s="8" t="s">
        <v>235</v>
      </c>
      <c r="H253" s="0" t="n">
        <v>22.5</v>
      </c>
      <c r="I253" s="0" t="n">
        <v>8.7</v>
      </c>
      <c r="J253" s="0" t="n">
        <v>4.9</v>
      </c>
      <c r="K253" s="0" t="n">
        <v>2.2</v>
      </c>
      <c r="L253" s="0" t="n">
        <v>0.259</v>
      </c>
      <c r="M253" s="0" t="n">
        <v>0.096</v>
      </c>
      <c r="N253" s="0" t="n">
        <v>0.096</v>
      </c>
      <c r="O253" s="8" t="n">
        <f aca="false">ROUND(I253+L253,2)</f>
        <v>8.96</v>
      </c>
      <c r="P253" s="8" t="n">
        <f aca="false">ROUND(J253+M253,2)</f>
        <v>5</v>
      </c>
      <c r="Q253" s="8" t="n">
        <f aca="false">ROUND(K253+N253,2)</f>
        <v>2.3</v>
      </c>
    </row>
    <row r="254" customFormat="false" ht="15" hidden="false" customHeight="false" outlineLevel="0" collapsed="false">
      <c r="A254" s="0" t="s">
        <v>487</v>
      </c>
      <c r="B254" s="0" t="s">
        <v>87</v>
      </c>
      <c r="C254" s="0" t="s">
        <v>87</v>
      </c>
      <c r="D254" s="0" t="s">
        <v>243</v>
      </c>
      <c r="E254" s="3" t="s">
        <v>212</v>
      </c>
      <c r="G254" s="8" t="s">
        <v>235</v>
      </c>
      <c r="H254" s="0" t="n">
        <v>18.7</v>
      </c>
      <c r="I254" s="0" t="n">
        <v>8.7</v>
      </c>
      <c r="J254" s="0" t="n">
        <v>6.7</v>
      </c>
      <c r="K254" s="0" t="n">
        <v>2.3</v>
      </c>
      <c r="L254" s="0" t="n">
        <v>0.522</v>
      </c>
      <c r="M254" s="0" t="n">
        <v>0.29</v>
      </c>
      <c r="N254" s="0" t="n">
        <v>0.134</v>
      </c>
      <c r="O254" s="8" t="n">
        <f aca="false">ROUND(I254+L254,2)</f>
        <v>9.22</v>
      </c>
      <c r="P254" s="8" t="n">
        <f aca="false">ROUND(J254+M254,2)</f>
        <v>6.99</v>
      </c>
      <c r="Q254" s="8" t="n">
        <f aca="false">ROUND(K254+N254,2)</f>
        <v>2.43</v>
      </c>
    </row>
    <row r="255" customFormat="false" ht="15" hidden="false" customHeight="false" outlineLevel="0" collapsed="false">
      <c r="A255" s="0" t="s">
        <v>488</v>
      </c>
      <c r="B255" s="0" t="s">
        <v>106</v>
      </c>
      <c r="C255" s="0" t="s">
        <v>106</v>
      </c>
      <c r="D255" s="0" t="s">
        <v>234</v>
      </c>
      <c r="E255" s="3" t="s">
        <v>212</v>
      </c>
      <c r="G255" s="8" t="s">
        <v>396</v>
      </c>
      <c r="H255" s="0" t="n">
        <v>13.4</v>
      </c>
      <c r="I255" s="0" t="n">
        <v>8.7</v>
      </c>
      <c r="J255" s="0" t="n">
        <v>5.1</v>
      </c>
      <c r="K255" s="0" t="n">
        <v>1.2</v>
      </c>
      <c r="L255" s="0" t="n">
        <v>0.248</v>
      </c>
      <c r="M255" s="0" t="n">
        <v>0.016</v>
      </c>
      <c r="N255" s="0" t="n">
        <v>-0.067</v>
      </c>
      <c r="O255" s="8" t="n">
        <f aca="false">ROUND(I255+L255,2)</f>
        <v>8.95</v>
      </c>
      <c r="P255" s="8" t="n">
        <f aca="false">ROUND(J255+M255,2)</f>
        <v>5.12</v>
      </c>
      <c r="Q255" s="8" t="n">
        <f aca="false">ROUND(K255+N255,2)</f>
        <v>1.13</v>
      </c>
    </row>
    <row r="256" customFormat="false" ht="15" hidden="false" customHeight="false" outlineLevel="0" collapsed="false">
      <c r="A256" s="0" t="s">
        <v>489</v>
      </c>
      <c r="B256" s="0" t="s">
        <v>154</v>
      </c>
      <c r="C256" s="0" t="s">
        <v>154</v>
      </c>
      <c r="D256" s="0" t="s">
        <v>243</v>
      </c>
      <c r="E256" s="3" t="s">
        <v>209</v>
      </c>
      <c r="F256" s="8" t="s">
        <v>208</v>
      </c>
      <c r="G256" s="8" t="s">
        <v>235</v>
      </c>
      <c r="H256" s="0" t="n">
        <v>17.8</v>
      </c>
      <c r="I256" s="0" t="n">
        <v>8.6</v>
      </c>
      <c r="J256" s="0" t="n">
        <v>1.8</v>
      </c>
      <c r="K256" s="0" t="n">
        <v>1.3</v>
      </c>
      <c r="L256" s="0" t="n">
        <v>0.074</v>
      </c>
      <c r="M256" s="0" t="n">
        <v>0.098</v>
      </c>
      <c r="N256" s="0" t="n">
        <v>0.003</v>
      </c>
      <c r="O256" s="8" t="n">
        <f aca="false">ROUND(I256+L256,2)</f>
        <v>8.67</v>
      </c>
      <c r="P256" s="8" t="n">
        <f aca="false">ROUND(J256+M256,2)</f>
        <v>1.9</v>
      </c>
      <c r="Q256" s="8" t="n">
        <f aca="false">ROUND(K256+N256,2)</f>
        <v>1.3</v>
      </c>
    </row>
    <row r="257" customFormat="false" ht="15" hidden="false" customHeight="false" outlineLevel="0" collapsed="false">
      <c r="A257" s="0" t="s">
        <v>490</v>
      </c>
      <c r="B257" s="0" t="s">
        <v>177</v>
      </c>
      <c r="C257" s="0" t="s">
        <v>177</v>
      </c>
      <c r="D257" s="0" t="s">
        <v>234</v>
      </c>
      <c r="E257" s="3" t="s">
        <v>209</v>
      </c>
      <c r="F257" s="8" t="s">
        <v>210</v>
      </c>
      <c r="G257" s="8" t="s">
        <v>235</v>
      </c>
      <c r="H257" s="0" t="n">
        <v>25.1</v>
      </c>
      <c r="I257" s="0" t="n">
        <v>8.6</v>
      </c>
      <c r="J257" s="0" t="n">
        <v>3.8</v>
      </c>
      <c r="K257" s="0" t="n">
        <v>2.4</v>
      </c>
      <c r="L257" s="0" t="n">
        <v>0.516</v>
      </c>
      <c r="M257" s="0" t="n">
        <v>0.168</v>
      </c>
      <c r="N257" s="0" t="n">
        <v>0.144</v>
      </c>
      <c r="O257" s="8" t="n">
        <f aca="false">ROUND(I257+L257,2)</f>
        <v>9.12</v>
      </c>
      <c r="P257" s="8" t="n">
        <f aca="false">ROUND(J257+M257,2)</f>
        <v>3.97</v>
      </c>
      <c r="Q257" s="8" t="n">
        <f aca="false">ROUND(K257+N257,2)</f>
        <v>2.54</v>
      </c>
    </row>
    <row r="258" customFormat="false" ht="15" hidden="false" customHeight="false" outlineLevel="0" collapsed="false">
      <c r="A258" s="0" t="s">
        <v>491</v>
      </c>
      <c r="B258" s="0" t="s">
        <v>158</v>
      </c>
      <c r="C258" s="0" t="s">
        <v>158</v>
      </c>
      <c r="D258" s="0" t="s">
        <v>234</v>
      </c>
      <c r="E258" s="3" t="s">
        <v>209</v>
      </c>
      <c r="F258" s="8" t="s">
        <v>208</v>
      </c>
      <c r="G258" s="8" t="s">
        <v>235</v>
      </c>
      <c r="H258" s="0" t="n">
        <v>26.6</v>
      </c>
      <c r="I258" s="0" t="n">
        <v>8.6</v>
      </c>
      <c r="J258" s="0" t="n">
        <v>3.1</v>
      </c>
      <c r="K258" s="0" t="n">
        <v>2.6</v>
      </c>
      <c r="L258" s="0" t="n">
        <v>0.516</v>
      </c>
      <c r="M258" s="0" t="n">
        <v>0.186</v>
      </c>
      <c r="N258" s="0" t="n">
        <v>0.116</v>
      </c>
      <c r="O258" s="8" t="n">
        <f aca="false">ROUND(I258+L258,2)</f>
        <v>9.12</v>
      </c>
      <c r="P258" s="8" t="n">
        <f aca="false">ROUND(J258+M258,2)</f>
        <v>3.29</v>
      </c>
      <c r="Q258" s="8" t="n">
        <f aca="false">ROUND(K258+N258,2)</f>
        <v>2.72</v>
      </c>
    </row>
    <row r="259" customFormat="false" ht="15" hidden="false" customHeight="false" outlineLevel="0" collapsed="false">
      <c r="A259" s="0" t="s">
        <v>492</v>
      </c>
      <c r="B259" s="0" t="s">
        <v>94</v>
      </c>
      <c r="C259" s="0" t="s">
        <v>94</v>
      </c>
      <c r="D259" s="0" t="s">
        <v>234</v>
      </c>
      <c r="E259" s="3" t="s">
        <v>209</v>
      </c>
      <c r="F259" s="8" t="s">
        <v>208</v>
      </c>
      <c r="G259" s="8" t="s">
        <v>235</v>
      </c>
      <c r="H259" s="0" t="n">
        <v>18.1</v>
      </c>
      <c r="I259" s="0" t="n">
        <v>8.5</v>
      </c>
      <c r="J259" s="0" t="n">
        <v>2.5</v>
      </c>
      <c r="K259" s="0" t="n">
        <v>1.8</v>
      </c>
      <c r="L259" s="0" t="n">
        <v>0.51</v>
      </c>
      <c r="M259" s="0" t="n">
        <v>0.15</v>
      </c>
      <c r="N259" s="0" t="n">
        <v>0.108</v>
      </c>
      <c r="O259" s="8" t="n">
        <f aca="false">ROUND(I259+L259,2)</f>
        <v>9.01</v>
      </c>
      <c r="P259" s="8" t="n">
        <f aca="false">ROUND(J259+M259,2)</f>
        <v>2.65</v>
      </c>
      <c r="Q259" s="8" t="n">
        <f aca="false">ROUND(K259+N259,2)</f>
        <v>1.91</v>
      </c>
    </row>
    <row r="260" customFormat="false" ht="15" hidden="false" customHeight="false" outlineLevel="0" collapsed="false">
      <c r="A260" s="0" t="s">
        <v>493</v>
      </c>
      <c r="B260" s="0" t="s">
        <v>173</v>
      </c>
      <c r="C260" s="0" t="s">
        <v>173</v>
      </c>
      <c r="D260" s="0" t="s">
        <v>234</v>
      </c>
      <c r="E260" s="3" t="s">
        <v>209</v>
      </c>
      <c r="F260" s="8" t="s">
        <v>208</v>
      </c>
      <c r="G260" s="8" t="s">
        <v>235</v>
      </c>
      <c r="H260" s="0" t="n">
        <v>21.4</v>
      </c>
      <c r="I260" s="0" t="n">
        <v>8.5</v>
      </c>
      <c r="J260" s="0" t="n">
        <v>2.3</v>
      </c>
      <c r="K260" s="0" t="n">
        <v>1.5</v>
      </c>
      <c r="L260" s="0" t="n">
        <v>0.266</v>
      </c>
      <c r="M260" s="0" t="n">
        <v>0.05</v>
      </c>
      <c r="N260" s="0" t="n">
        <v>-0.032</v>
      </c>
      <c r="O260" s="8" t="n">
        <f aca="false">ROUND(I260+L260,2)</f>
        <v>8.77</v>
      </c>
      <c r="P260" s="8" t="n">
        <f aca="false">ROUND(J260+M260,2)</f>
        <v>2.35</v>
      </c>
      <c r="Q260" s="8" t="n">
        <f aca="false">ROUND(K260+N260,2)</f>
        <v>1.47</v>
      </c>
    </row>
    <row r="261" customFormat="false" ht="15" hidden="false" customHeight="false" outlineLevel="0" collapsed="false">
      <c r="A261" s="0" t="s">
        <v>494</v>
      </c>
      <c r="B261" s="0" t="s">
        <v>138</v>
      </c>
      <c r="C261" s="0" t="s">
        <v>138</v>
      </c>
      <c r="D261" s="0" t="s">
        <v>243</v>
      </c>
      <c r="E261" s="3" t="s">
        <v>210</v>
      </c>
      <c r="G261" s="8" t="s">
        <v>235</v>
      </c>
      <c r="H261" s="0" t="n">
        <v>16.8</v>
      </c>
      <c r="I261" s="0" t="n">
        <v>8.5</v>
      </c>
      <c r="J261" s="0" t="n">
        <v>3</v>
      </c>
      <c r="K261" s="0" t="n">
        <v>1.4</v>
      </c>
      <c r="L261" s="0" t="n">
        <v>0.51</v>
      </c>
      <c r="M261" s="0" t="n">
        <v>0.18</v>
      </c>
      <c r="N261" s="0" t="n">
        <v>0.084</v>
      </c>
      <c r="O261" s="8" t="n">
        <f aca="false">ROUND(I261+L261,2)</f>
        <v>9.01</v>
      </c>
      <c r="P261" s="8" t="n">
        <f aca="false">ROUND(J261+M261,2)</f>
        <v>3.18</v>
      </c>
      <c r="Q261" s="8" t="n">
        <f aca="false">ROUND(K261+N261,2)</f>
        <v>1.48</v>
      </c>
    </row>
    <row r="262" customFormat="false" ht="15" hidden="false" customHeight="false" outlineLevel="0" collapsed="false">
      <c r="A262" s="0" t="s">
        <v>495</v>
      </c>
      <c r="B262" s="0" t="s">
        <v>146</v>
      </c>
      <c r="C262" s="0" t="s">
        <v>146</v>
      </c>
      <c r="D262" s="0" t="s">
        <v>243</v>
      </c>
      <c r="E262" s="3" t="s">
        <v>208</v>
      </c>
      <c r="G262" s="8" t="s">
        <v>235</v>
      </c>
      <c r="H262" s="0" t="n">
        <v>16.6</v>
      </c>
      <c r="I262" s="0" t="n">
        <v>8.5</v>
      </c>
      <c r="J262" s="0" t="n">
        <v>1.8</v>
      </c>
      <c r="K262" s="0" t="n">
        <v>2.6</v>
      </c>
      <c r="L262" s="0" t="n">
        <v>0.51</v>
      </c>
      <c r="M262" s="0" t="n">
        <v>0.108</v>
      </c>
      <c r="N262" s="0" t="n">
        <v>0.156</v>
      </c>
      <c r="O262" s="8" t="n">
        <f aca="false">ROUND(I262+L262,2)</f>
        <v>9.01</v>
      </c>
      <c r="P262" s="8" t="n">
        <f aca="false">ROUND(J262+M262,2)</f>
        <v>1.91</v>
      </c>
      <c r="Q262" s="8" t="n">
        <f aca="false">ROUND(K262+N262,2)</f>
        <v>2.76</v>
      </c>
    </row>
    <row r="263" customFormat="false" ht="15" hidden="false" customHeight="false" outlineLevel="0" collapsed="false">
      <c r="A263" s="0" t="s">
        <v>496</v>
      </c>
      <c r="B263" s="0" t="s">
        <v>126</v>
      </c>
      <c r="C263" s="0" t="s">
        <v>126</v>
      </c>
      <c r="D263" s="0" t="s">
        <v>234</v>
      </c>
      <c r="E263" s="3" t="s">
        <v>212</v>
      </c>
      <c r="G263" s="8" t="s">
        <v>235</v>
      </c>
      <c r="H263" s="0" t="n">
        <v>21.8</v>
      </c>
      <c r="I263" s="0" t="n">
        <v>8.5</v>
      </c>
      <c r="J263" s="0" t="n">
        <v>3.6</v>
      </c>
      <c r="K263" s="0" t="n">
        <v>1.3</v>
      </c>
      <c r="L263" s="0" t="n">
        <v>0.51</v>
      </c>
      <c r="M263" s="0" t="n">
        <v>0.216</v>
      </c>
      <c r="N263" s="0" t="n">
        <v>0.078</v>
      </c>
      <c r="O263" s="8" t="n">
        <f aca="false">ROUND(I263+L263,2)</f>
        <v>9.01</v>
      </c>
      <c r="P263" s="8" t="n">
        <f aca="false">ROUND(J263+M263,2)</f>
        <v>3.82</v>
      </c>
      <c r="Q263" s="8" t="n">
        <f aca="false">ROUND(K263+N263,2)</f>
        <v>1.38</v>
      </c>
    </row>
    <row r="264" customFormat="false" ht="15" hidden="false" customHeight="false" outlineLevel="0" collapsed="false">
      <c r="A264" s="0" t="s">
        <v>497</v>
      </c>
      <c r="B264" s="0" t="s">
        <v>184</v>
      </c>
      <c r="C264" s="0" t="s">
        <v>184</v>
      </c>
      <c r="D264" s="0" t="s">
        <v>234</v>
      </c>
      <c r="E264" s="3" t="s">
        <v>211</v>
      </c>
      <c r="G264" s="8" t="s">
        <v>235</v>
      </c>
      <c r="H264" s="0" t="n">
        <v>21.9</v>
      </c>
      <c r="I264" s="0" t="n">
        <v>8.5</v>
      </c>
      <c r="J264" s="0" t="n">
        <v>5</v>
      </c>
      <c r="K264" s="0" t="n">
        <v>1.9</v>
      </c>
      <c r="L264" s="0" t="n">
        <v>0.51</v>
      </c>
      <c r="M264" s="0" t="n">
        <v>0.3</v>
      </c>
      <c r="N264" s="0" t="n">
        <v>0.107</v>
      </c>
      <c r="O264" s="8" t="n">
        <f aca="false">ROUND(I264+L264,2)</f>
        <v>9.01</v>
      </c>
      <c r="P264" s="8" t="n">
        <f aca="false">ROUND(J264+M264,2)</f>
        <v>5.3</v>
      </c>
      <c r="Q264" s="8" t="n">
        <f aca="false">ROUND(K264+N264,2)</f>
        <v>2.01</v>
      </c>
    </row>
    <row r="265" customFormat="false" ht="15" hidden="false" customHeight="false" outlineLevel="0" collapsed="false">
      <c r="A265" s="0" t="s">
        <v>498</v>
      </c>
      <c r="B265" s="0" t="s">
        <v>130</v>
      </c>
      <c r="C265" s="0" t="s">
        <v>169</v>
      </c>
      <c r="D265" s="0" t="s">
        <v>239</v>
      </c>
      <c r="E265" s="3" t="s">
        <v>209</v>
      </c>
      <c r="G265" s="8" t="s">
        <v>235</v>
      </c>
      <c r="H265" s="0" t="n">
        <v>21.6</v>
      </c>
      <c r="I265" s="0" t="n">
        <v>8.4</v>
      </c>
      <c r="J265" s="0" t="n">
        <v>2.3</v>
      </c>
      <c r="K265" s="0" t="n">
        <v>2.2</v>
      </c>
      <c r="L265" s="0" t="n">
        <v>0</v>
      </c>
      <c r="M265" s="0" t="n">
        <v>0</v>
      </c>
      <c r="N265" s="0" t="n">
        <v>0</v>
      </c>
      <c r="O265" s="8" t="n">
        <f aca="false">ROUND(I265+L265,2)</f>
        <v>8.4</v>
      </c>
      <c r="P265" s="8" t="n">
        <f aca="false">ROUND(J265+M265,2)</f>
        <v>2.3</v>
      </c>
      <c r="Q265" s="8" t="n">
        <f aca="false">ROUND(K265+N265,2)</f>
        <v>2.2</v>
      </c>
    </row>
    <row r="266" customFormat="false" ht="15" hidden="false" customHeight="false" outlineLevel="0" collapsed="false">
      <c r="A266" s="0" t="s">
        <v>499</v>
      </c>
      <c r="B266" s="0" t="s">
        <v>134</v>
      </c>
      <c r="C266" s="0" t="s">
        <v>165</v>
      </c>
      <c r="D266" s="0" t="s">
        <v>239</v>
      </c>
      <c r="E266" s="3" t="s">
        <v>209</v>
      </c>
      <c r="G266" s="8" t="s">
        <v>235</v>
      </c>
      <c r="H266" s="0" t="n">
        <v>21.3</v>
      </c>
      <c r="I266" s="0" t="n">
        <v>8.4</v>
      </c>
      <c r="J266" s="0" t="n">
        <v>2.5</v>
      </c>
      <c r="K266" s="0" t="n">
        <v>2.7</v>
      </c>
      <c r="L266" s="0" t="n">
        <v>0</v>
      </c>
      <c r="M266" s="0" t="n">
        <v>0</v>
      </c>
      <c r="N266" s="0" t="n">
        <v>0</v>
      </c>
      <c r="O266" s="8" t="n">
        <f aca="false">ROUND(I266+L266,2)</f>
        <v>8.4</v>
      </c>
      <c r="P266" s="8" t="n">
        <f aca="false">ROUND(J266+M266,2)</f>
        <v>2.5</v>
      </c>
      <c r="Q266" s="8" t="n">
        <f aca="false">ROUND(K266+N266,2)</f>
        <v>2.7</v>
      </c>
    </row>
    <row r="267" customFormat="false" ht="15" hidden="false" customHeight="false" outlineLevel="0" collapsed="false">
      <c r="A267" s="0" t="s">
        <v>500</v>
      </c>
      <c r="B267" s="0" t="s">
        <v>114</v>
      </c>
      <c r="C267" s="0" t="s">
        <v>114</v>
      </c>
      <c r="D267" s="0" t="s">
        <v>243</v>
      </c>
      <c r="E267" s="3" t="s">
        <v>211</v>
      </c>
      <c r="F267" s="8" t="s">
        <v>212</v>
      </c>
      <c r="G267" s="8" t="s">
        <v>235</v>
      </c>
      <c r="H267" s="0" t="n">
        <v>27.5</v>
      </c>
      <c r="I267" s="0" t="n">
        <v>8.4</v>
      </c>
      <c r="J267" s="0" t="n">
        <v>5.5</v>
      </c>
      <c r="K267" s="0" t="n">
        <v>5.5</v>
      </c>
      <c r="L267" s="0" t="n">
        <v>0.249</v>
      </c>
      <c r="M267" s="0" t="n">
        <v>0.247</v>
      </c>
      <c r="N267" s="0" t="n">
        <v>0.12</v>
      </c>
      <c r="O267" s="8" t="n">
        <f aca="false">ROUND(I267+L267,2)</f>
        <v>8.65</v>
      </c>
      <c r="P267" s="8" t="n">
        <f aca="false">ROUND(J267+M267,2)</f>
        <v>5.75</v>
      </c>
      <c r="Q267" s="8" t="n">
        <f aca="false">ROUND(K267+N267,2)</f>
        <v>5.62</v>
      </c>
    </row>
    <row r="268" customFormat="false" ht="15" hidden="false" customHeight="false" outlineLevel="0" collapsed="false">
      <c r="A268" s="0" t="s">
        <v>501</v>
      </c>
      <c r="B268" s="0" t="s">
        <v>158</v>
      </c>
      <c r="C268" s="0" t="s">
        <v>158</v>
      </c>
      <c r="D268" s="0" t="s">
        <v>234</v>
      </c>
      <c r="E268" s="3" t="s">
        <v>209</v>
      </c>
      <c r="F268" s="8" t="s">
        <v>208</v>
      </c>
      <c r="G268" s="8" t="s">
        <v>235</v>
      </c>
      <c r="H268" s="0" t="n">
        <v>17.3</v>
      </c>
      <c r="I268" s="0" t="n">
        <v>8.3</v>
      </c>
      <c r="J268" s="0" t="n">
        <v>2</v>
      </c>
      <c r="K268" s="0" t="n">
        <v>1.3</v>
      </c>
      <c r="L268" s="0" t="n">
        <v>0.498</v>
      </c>
      <c r="M268" s="0" t="n">
        <v>0.12</v>
      </c>
      <c r="N268" s="0" t="n">
        <v>0.078</v>
      </c>
      <c r="O268" s="8" t="n">
        <f aca="false">ROUND(I268+L268,2)</f>
        <v>8.8</v>
      </c>
      <c r="P268" s="8" t="n">
        <f aca="false">ROUND(J268+M268,2)</f>
        <v>2.12</v>
      </c>
      <c r="Q268" s="8" t="n">
        <f aca="false">ROUND(K268+N268,2)</f>
        <v>1.38</v>
      </c>
    </row>
    <row r="269" customFormat="false" ht="15" hidden="false" customHeight="false" outlineLevel="0" collapsed="false">
      <c r="A269" s="0" t="s">
        <v>502</v>
      </c>
      <c r="B269" s="0" t="s">
        <v>158</v>
      </c>
      <c r="C269" s="0" t="s">
        <v>79</v>
      </c>
      <c r="D269" s="0" t="s">
        <v>239</v>
      </c>
      <c r="E269" s="3" t="s">
        <v>209</v>
      </c>
      <c r="G269" s="8" t="s">
        <v>235</v>
      </c>
      <c r="H269" s="0" t="n">
        <v>26.8</v>
      </c>
      <c r="I269" s="0" t="n">
        <v>8.3</v>
      </c>
      <c r="J269" s="0" t="n">
        <v>3.6</v>
      </c>
      <c r="K269" s="0" t="n">
        <v>1.2</v>
      </c>
      <c r="L269" s="0" t="n">
        <v>0</v>
      </c>
      <c r="M269" s="0" t="n">
        <v>0</v>
      </c>
      <c r="N269" s="0" t="n">
        <v>0</v>
      </c>
      <c r="O269" s="8" t="n">
        <f aca="false">ROUND(I269+L269,2)</f>
        <v>8.3</v>
      </c>
      <c r="P269" s="8" t="n">
        <f aca="false">ROUND(J269+M269,2)</f>
        <v>3.6</v>
      </c>
      <c r="Q269" s="8" t="n">
        <f aca="false">ROUND(K269+N269,2)</f>
        <v>1.2</v>
      </c>
    </row>
    <row r="270" customFormat="false" ht="15" hidden="false" customHeight="false" outlineLevel="0" collapsed="false">
      <c r="A270" s="0" t="s">
        <v>503</v>
      </c>
      <c r="B270" s="0" t="s">
        <v>114</v>
      </c>
      <c r="C270" s="0" t="s">
        <v>114</v>
      </c>
      <c r="D270" s="0" t="s">
        <v>243</v>
      </c>
      <c r="E270" s="3" t="s">
        <v>212</v>
      </c>
      <c r="F270" s="8" t="s">
        <v>211</v>
      </c>
      <c r="G270" s="8" t="s">
        <v>235</v>
      </c>
      <c r="H270" s="0" t="n">
        <v>21.5</v>
      </c>
      <c r="I270" s="0" t="n">
        <v>8.3</v>
      </c>
      <c r="J270" s="0" t="n">
        <v>4.9</v>
      </c>
      <c r="K270" s="0" t="n">
        <v>2.6</v>
      </c>
      <c r="L270" s="0" t="n">
        <v>0.364</v>
      </c>
      <c r="M270" s="0" t="n">
        <v>0.294</v>
      </c>
      <c r="N270" s="0" t="n">
        <v>0.084</v>
      </c>
      <c r="O270" s="8" t="n">
        <f aca="false">ROUND(I270+L270,2)</f>
        <v>8.66</v>
      </c>
      <c r="P270" s="8" t="n">
        <f aca="false">ROUND(J270+M270,2)</f>
        <v>5.19</v>
      </c>
      <c r="Q270" s="8" t="n">
        <f aca="false">ROUND(K270+N270,2)</f>
        <v>2.68</v>
      </c>
    </row>
    <row r="271" customFormat="false" ht="15" hidden="false" customHeight="false" outlineLevel="0" collapsed="false">
      <c r="A271" s="0" t="s">
        <v>504</v>
      </c>
      <c r="B271" s="0" t="s">
        <v>150</v>
      </c>
      <c r="C271" s="0" t="s">
        <v>150</v>
      </c>
      <c r="D271" s="0" t="s">
        <v>234</v>
      </c>
      <c r="E271" s="3" t="s">
        <v>211</v>
      </c>
      <c r="G271" s="8" t="s">
        <v>235</v>
      </c>
      <c r="H271" s="0" t="n">
        <v>27.3</v>
      </c>
      <c r="I271" s="0" t="n">
        <v>8.3</v>
      </c>
      <c r="J271" s="0" t="n">
        <v>7.7</v>
      </c>
      <c r="K271" s="0" t="n">
        <v>1.3</v>
      </c>
      <c r="L271" s="0" t="n">
        <v>0.083</v>
      </c>
      <c r="M271" s="0" t="n">
        <v>0.207</v>
      </c>
      <c r="N271" s="0" t="n">
        <v>0.037</v>
      </c>
      <c r="O271" s="8" t="n">
        <f aca="false">ROUND(I271+L271,2)</f>
        <v>8.38</v>
      </c>
      <c r="P271" s="8" t="n">
        <f aca="false">ROUND(J271+M271,2)</f>
        <v>7.91</v>
      </c>
      <c r="Q271" s="8" t="n">
        <f aca="false">ROUND(K271+N271,2)</f>
        <v>1.34</v>
      </c>
    </row>
    <row r="272" customFormat="false" ht="15" hidden="false" customHeight="false" outlineLevel="0" collapsed="false">
      <c r="A272" s="0" t="s">
        <v>505</v>
      </c>
      <c r="B272" s="0" t="s">
        <v>192</v>
      </c>
      <c r="C272" s="0" t="s">
        <v>192</v>
      </c>
      <c r="D272" s="0" t="s">
        <v>234</v>
      </c>
      <c r="E272" s="3" t="s">
        <v>209</v>
      </c>
      <c r="G272" s="8" t="s">
        <v>396</v>
      </c>
      <c r="H272" s="0" t="n">
        <v>22.3</v>
      </c>
      <c r="I272" s="0" t="n">
        <v>8.3</v>
      </c>
      <c r="J272" s="0" t="n">
        <v>3.3</v>
      </c>
      <c r="K272" s="0" t="n">
        <v>2.7</v>
      </c>
      <c r="L272" s="0" t="n">
        <v>0.498</v>
      </c>
      <c r="M272" s="0" t="n">
        <v>0.173</v>
      </c>
      <c r="N272" s="0" t="n">
        <v>0.162</v>
      </c>
      <c r="O272" s="8" t="n">
        <f aca="false">ROUND(I272+L272,2)</f>
        <v>8.8</v>
      </c>
      <c r="P272" s="8" t="n">
        <f aca="false">ROUND(J272+M272,2)</f>
        <v>3.47</v>
      </c>
      <c r="Q272" s="8" t="n">
        <f aca="false">ROUND(K272+N272,2)</f>
        <v>2.86</v>
      </c>
    </row>
    <row r="273" customFormat="false" ht="15" hidden="false" customHeight="false" outlineLevel="0" collapsed="false">
      <c r="A273" s="0" t="s">
        <v>506</v>
      </c>
      <c r="B273" s="0" t="s">
        <v>87</v>
      </c>
      <c r="C273" s="0" t="s">
        <v>87</v>
      </c>
      <c r="D273" s="0" t="s">
        <v>234</v>
      </c>
      <c r="E273" s="3" t="s">
        <v>209</v>
      </c>
      <c r="G273" s="8" t="s">
        <v>396</v>
      </c>
      <c r="H273" s="0" t="n">
        <v>23.9</v>
      </c>
      <c r="I273" s="0" t="n">
        <v>8.3</v>
      </c>
      <c r="J273" s="0" t="n">
        <v>3.4</v>
      </c>
      <c r="K273" s="0" t="n">
        <v>3.3</v>
      </c>
      <c r="L273" s="0" t="n">
        <v>0.377</v>
      </c>
      <c r="M273" s="0" t="n">
        <v>0.111</v>
      </c>
      <c r="N273" s="0" t="n">
        <v>0.146</v>
      </c>
      <c r="O273" s="8" t="n">
        <f aca="false">ROUND(I273+L273,2)</f>
        <v>8.68</v>
      </c>
      <c r="P273" s="8" t="n">
        <f aca="false">ROUND(J273+M273,2)</f>
        <v>3.51</v>
      </c>
      <c r="Q273" s="8" t="n">
        <f aca="false">ROUND(K273+N273,2)</f>
        <v>3.45</v>
      </c>
    </row>
    <row r="274" customFormat="false" ht="15" hidden="false" customHeight="false" outlineLevel="0" collapsed="false">
      <c r="A274" s="0" t="s">
        <v>507</v>
      </c>
      <c r="B274" s="0" t="s">
        <v>126</v>
      </c>
      <c r="C274" s="0" t="s">
        <v>126</v>
      </c>
      <c r="D274" s="0" t="s">
        <v>243</v>
      </c>
      <c r="E274" s="3" t="s">
        <v>209</v>
      </c>
      <c r="G274" s="8" t="s">
        <v>235</v>
      </c>
      <c r="H274" s="0" t="n">
        <v>20.2</v>
      </c>
      <c r="I274" s="0" t="n">
        <v>8.2</v>
      </c>
      <c r="J274" s="0" t="n">
        <v>0.8</v>
      </c>
      <c r="K274" s="0" t="n">
        <v>1.7</v>
      </c>
      <c r="L274" s="0" t="n">
        <v>0.492</v>
      </c>
      <c r="M274" s="0" t="n">
        <v>0.048</v>
      </c>
      <c r="N274" s="0" t="n">
        <v>0.102</v>
      </c>
      <c r="O274" s="8" t="n">
        <f aca="false">ROUND(I274+L274,2)</f>
        <v>8.69</v>
      </c>
      <c r="P274" s="8" t="n">
        <f aca="false">ROUND(J274+M274,2)</f>
        <v>0.85</v>
      </c>
      <c r="Q274" s="8" t="n">
        <f aca="false">ROUND(K274+N274,2)</f>
        <v>1.8</v>
      </c>
    </row>
    <row r="275" customFormat="false" ht="15" hidden="false" customHeight="false" outlineLevel="0" collapsed="false">
      <c r="A275" s="0" t="s">
        <v>508</v>
      </c>
      <c r="B275" s="0" t="s">
        <v>114</v>
      </c>
      <c r="C275" s="0" t="s">
        <v>114</v>
      </c>
      <c r="D275" s="0" t="s">
        <v>234</v>
      </c>
      <c r="E275" s="3" t="s">
        <v>209</v>
      </c>
      <c r="G275" s="8" t="s">
        <v>235</v>
      </c>
      <c r="H275" s="0" t="n">
        <v>16.2</v>
      </c>
      <c r="I275" s="0" t="n">
        <v>8.2</v>
      </c>
      <c r="J275" s="0" t="n">
        <v>1.6</v>
      </c>
      <c r="K275" s="0" t="n">
        <v>1</v>
      </c>
      <c r="L275" s="0" t="n">
        <v>0.462</v>
      </c>
      <c r="M275" s="0" t="n">
        <v>0.096</v>
      </c>
      <c r="N275" s="0" t="n">
        <v>0.042</v>
      </c>
      <c r="O275" s="8" t="n">
        <f aca="false">ROUND(I275+L275,2)</f>
        <v>8.66</v>
      </c>
      <c r="P275" s="8" t="n">
        <f aca="false">ROUND(J275+M275,2)</f>
        <v>1.7</v>
      </c>
      <c r="Q275" s="8" t="n">
        <f aca="false">ROUND(K275+N275,2)</f>
        <v>1.04</v>
      </c>
    </row>
    <row r="276" customFormat="false" ht="15" hidden="false" customHeight="false" outlineLevel="0" collapsed="false">
      <c r="A276" s="0" t="s">
        <v>509</v>
      </c>
      <c r="B276" s="0" t="s">
        <v>110</v>
      </c>
      <c r="C276" s="0" t="s">
        <v>110</v>
      </c>
      <c r="D276" s="0" t="s">
        <v>234</v>
      </c>
      <c r="E276" s="3" t="s">
        <v>210</v>
      </c>
      <c r="G276" s="8" t="s">
        <v>235</v>
      </c>
      <c r="H276" s="0" t="n">
        <v>19.9</v>
      </c>
      <c r="I276" s="0" t="n">
        <v>8.2</v>
      </c>
      <c r="J276" s="0" t="n">
        <v>4</v>
      </c>
      <c r="K276" s="0" t="n">
        <v>1.2</v>
      </c>
      <c r="L276" s="0" t="n">
        <v>0.492</v>
      </c>
      <c r="M276" s="0" t="n">
        <v>0.24</v>
      </c>
      <c r="N276" s="0" t="n">
        <v>0.072</v>
      </c>
      <c r="O276" s="8" t="n">
        <f aca="false">ROUND(I276+L276,2)</f>
        <v>8.69</v>
      </c>
      <c r="P276" s="8" t="n">
        <f aca="false">ROUND(J276+M276,2)</f>
        <v>4.24</v>
      </c>
      <c r="Q276" s="8" t="n">
        <f aca="false">ROUND(K276+N276,2)</f>
        <v>1.27</v>
      </c>
    </row>
    <row r="277" customFormat="false" ht="15" hidden="false" customHeight="false" outlineLevel="0" collapsed="false">
      <c r="A277" s="0" t="s">
        <v>510</v>
      </c>
      <c r="B277" s="0" t="s">
        <v>87</v>
      </c>
      <c r="C277" s="0" t="s">
        <v>87</v>
      </c>
      <c r="D277" s="0" t="s">
        <v>234</v>
      </c>
      <c r="E277" s="3" t="s">
        <v>211</v>
      </c>
      <c r="G277" s="8" t="s">
        <v>396</v>
      </c>
      <c r="H277" s="0" t="n">
        <v>20.5</v>
      </c>
      <c r="I277" s="0" t="n">
        <v>8.2</v>
      </c>
      <c r="J277" s="0" t="n">
        <v>4.6</v>
      </c>
      <c r="K277" s="0" t="n">
        <v>2.1</v>
      </c>
      <c r="L277" s="0" t="n">
        <v>0.451</v>
      </c>
      <c r="M277" s="0" t="n">
        <v>0.182</v>
      </c>
      <c r="N277" s="0" t="n">
        <v>0.112</v>
      </c>
      <c r="O277" s="8" t="n">
        <f aca="false">ROUND(I277+L277,2)</f>
        <v>8.65</v>
      </c>
      <c r="P277" s="8" t="n">
        <f aca="false">ROUND(J277+M277,2)</f>
        <v>4.78</v>
      </c>
      <c r="Q277" s="8" t="n">
        <f aca="false">ROUND(K277+N277,2)</f>
        <v>2.21</v>
      </c>
    </row>
    <row r="278" customFormat="false" ht="15" hidden="false" customHeight="false" outlineLevel="0" collapsed="false">
      <c r="A278" s="0" t="s">
        <v>511</v>
      </c>
      <c r="B278" s="0" t="s">
        <v>130</v>
      </c>
      <c r="C278" s="0" t="s">
        <v>130</v>
      </c>
      <c r="D278" s="0" t="s">
        <v>234</v>
      </c>
      <c r="E278" s="3" t="s">
        <v>211</v>
      </c>
      <c r="F278" s="8" t="s">
        <v>210</v>
      </c>
      <c r="G278" s="8" t="s">
        <v>235</v>
      </c>
      <c r="H278" s="0" t="n">
        <v>25.1</v>
      </c>
      <c r="I278" s="0" t="n">
        <v>8.2</v>
      </c>
      <c r="J278" s="0" t="n">
        <v>4</v>
      </c>
      <c r="K278" s="0" t="n">
        <v>1.8</v>
      </c>
      <c r="L278" s="0" t="n">
        <v>0.492</v>
      </c>
      <c r="M278" s="0" t="n">
        <v>0.24</v>
      </c>
      <c r="N278" s="0" t="n">
        <v>0.108</v>
      </c>
      <c r="O278" s="8" t="n">
        <f aca="false">ROUND(I278+L278,2)</f>
        <v>8.69</v>
      </c>
      <c r="P278" s="8" t="n">
        <f aca="false">ROUND(J278+M278,2)</f>
        <v>4.24</v>
      </c>
      <c r="Q278" s="8" t="n">
        <f aca="false">ROUND(K278+N278,2)</f>
        <v>1.91</v>
      </c>
    </row>
    <row r="279" customFormat="false" ht="15" hidden="false" customHeight="false" outlineLevel="0" collapsed="false">
      <c r="A279" s="0" t="s">
        <v>512</v>
      </c>
      <c r="B279" s="0" t="s">
        <v>192</v>
      </c>
      <c r="C279" s="0" t="s">
        <v>192</v>
      </c>
      <c r="D279" s="0" t="s">
        <v>234</v>
      </c>
      <c r="E279" s="3" t="s">
        <v>208</v>
      </c>
      <c r="G279" s="8" t="s">
        <v>235</v>
      </c>
      <c r="H279" s="0" t="n">
        <v>17.1</v>
      </c>
      <c r="I279" s="0" t="n">
        <v>8.1</v>
      </c>
      <c r="J279" s="0" t="n">
        <v>2.1</v>
      </c>
      <c r="K279" s="0" t="n">
        <v>3</v>
      </c>
      <c r="L279" s="0" t="n">
        <v>0.486</v>
      </c>
      <c r="M279" s="0" t="n">
        <v>0.126</v>
      </c>
      <c r="N279" s="0" t="n">
        <v>0.18</v>
      </c>
      <c r="O279" s="8" t="n">
        <f aca="false">ROUND(I279+L279,2)</f>
        <v>8.59</v>
      </c>
      <c r="P279" s="8" t="n">
        <f aca="false">ROUND(J279+M279,2)</f>
        <v>2.23</v>
      </c>
      <c r="Q279" s="8" t="n">
        <f aca="false">ROUND(K279+N279,2)</f>
        <v>3.18</v>
      </c>
    </row>
    <row r="280" customFormat="false" ht="15" hidden="false" customHeight="false" outlineLevel="0" collapsed="false">
      <c r="A280" s="0" t="s">
        <v>513</v>
      </c>
      <c r="B280" s="0" t="s">
        <v>83</v>
      </c>
      <c r="C280" s="0" t="s">
        <v>83</v>
      </c>
      <c r="D280" s="0" t="s">
        <v>234</v>
      </c>
      <c r="E280" s="3" t="s">
        <v>212</v>
      </c>
      <c r="G280" s="8" t="s">
        <v>235</v>
      </c>
      <c r="H280" s="0" t="n">
        <v>16.2</v>
      </c>
      <c r="I280" s="0" t="n">
        <v>8.1</v>
      </c>
      <c r="J280" s="0" t="n">
        <v>4.1</v>
      </c>
      <c r="K280" s="0" t="n">
        <v>1</v>
      </c>
      <c r="L280" s="0" t="n">
        <v>0.486</v>
      </c>
      <c r="M280" s="0" t="n">
        <v>0.246</v>
      </c>
      <c r="N280" s="0" t="n">
        <v>0.06</v>
      </c>
      <c r="O280" s="8" t="n">
        <f aca="false">ROUND(I280+L280,2)</f>
        <v>8.59</v>
      </c>
      <c r="P280" s="8" t="n">
        <f aca="false">ROUND(J280+M280,2)</f>
        <v>4.35</v>
      </c>
      <c r="Q280" s="8" t="n">
        <f aca="false">ROUND(K280+N280,2)</f>
        <v>1.06</v>
      </c>
    </row>
    <row r="281" customFormat="false" ht="15" hidden="false" customHeight="false" outlineLevel="0" collapsed="false">
      <c r="A281" s="0" t="s">
        <v>514</v>
      </c>
      <c r="B281" s="0" t="s">
        <v>188</v>
      </c>
      <c r="C281" s="0" t="s">
        <v>188</v>
      </c>
      <c r="D281" s="0" t="s">
        <v>234</v>
      </c>
      <c r="E281" s="3" t="s">
        <v>209</v>
      </c>
      <c r="G281" s="8" t="s">
        <v>396</v>
      </c>
      <c r="H281" s="0" t="n">
        <v>32.8</v>
      </c>
      <c r="I281" s="0" t="n">
        <v>8.1</v>
      </c>
      <c r="J281" s="0" t="n">
        <v>3.8</v>
      </c>
      <c r="K281" s="0" t="n">
        <v>4.1</v>
      </c>
      <c r="L281" s="0" t="n">
        <v>0.238</v>
      </c>
      <c r="M281" s="0" t="n">
        <v>0.146</v>
      </c>
      <c r="N281" s="0" t="n">
        <v>0.165</v>
      </c>
      <c r="O281" s="8" t="n">
        <f aca="false">ROUND(I281+L281,2)</f>
        <v>8.34</v>
      </c>
      <c r="P281" s="8" t="n">
        <f aca="false">ROUND(J281+M281,2)</f>
        <v>3.95</v>
      </c>
      <c r="Q281" s="8" t="n">
        <f aca="false">ROUND(K281+N281,2)</f>
        <v>4.27</v>
      </c>
    </row>
    <row r="282" customFormat="false" ht="15" hidden="false" customHeight="false" outlineLevel="0" collapsed="false">
      <c r="A282" s="0" t="s">
        <v>515</v>
      </c>
      <c r="B282" s="0" t="s">
        <v>150</v>
      </c>
      <c r="C282" s="0" t="s">
        <v>150</v>
      </c>
      <c r="D282" s="0" t="s">
        <v>234</v>
      </c>
      <c r="E282" s="3" t="s">
        <v>209</v>
      </c>
      <c r="G282" s="8" t="s">
        <v>235</v>
      </c>
      <c r="H282" s="0" t="n">
        <v>21</v>
      </c>
      <c r="I282" s="0" t="n">
        <v>8.1</v>
      </c>
      <c r="J282" s="0" t="n">
        <v>2.1</v>
      </c>
      <c r="K282" s="0" t="n">
        <v>1.5</v>
      </c>
      <c r="L282" s="0" t="n">
        <v>0.122</v>
      </c>
      <c r="M282" s="0" t="n">
        <v>0.085</v>
      </c>
      <c r="N282" s="0" t="n">
        <v>0.064</v>
      </c>
      <c r="O282" s="8" t="n">
        <f aca="false">ROUND(I282+L282,2)</f>
        <v>8.22</v>
      </c>
      <c r="P282" s="8" t="n">
        <f aca="false">ROUND(J282+M282,2)</f>
        <v>2.19</v>
      </c>
      <c r="Q282" s="8" t="n">
        <f aca="false">ROUND(K282+N282,2)</f>
        <v>1.56</v>
      </c>
    </row>
    <row r="283" customFormat="false" ht="15" hidden="false" customHeight="false" outlineLevel="0" collapsed="false">
      <c r="A283" s="0" t="s">
        <v>516</v>
      </c>
      <c r="B283" s="0" t="s">
        <v>142</v>
      </c>
      <c r="C283" s="0" t="s">
        <v>142</v>
      </c>
      <c r="D283" s="0" t="s">
        <v>243</v>
      </c>
      <c r="E283" s="3" t="s">
        <v>209</v>
      </c>
      <c r="G283" s="8" t="s">
        <v>235</v>
      </c>
      <c r="H283" s="0" t="n">
        <v>21.2</v>
      </c>
      <c r="I283" s="0" t="n">
        <v>8.1</v>
      </c>
      <c r="J283" s="0" t="n">
        <v>1</v>
      </c>
      <c r="K283" s="0" t="n">
        <v>1.2</v>
      </c>
      <c r="L283" s="0" t="n">
        <v>0.407</v>
      </c>
      <c r="M283" s="0" t="n">
        <v>0.059</v>
      </c>
      <c r="N283" s="0" t="n">
        <v>0.015</v>
      </c>
      <c r="O283" s="8" t="n">
        <f aca="false">ROUND(I283+L283,2)</f>
        <v>8.51</v>
      </c>
      <c r="P283" s="8" t="n">
        <f aca="false">ROUND(J283+M283,2)</f>
        <v>1.06</v>
      </c>
      <c r="Q283" s="8" t="n">
        <f aca="false">ROUND(K283+N283,2)</f>
        <v>1.22</v>
      </c>
    </row>
    <row r="284" customFormat="false" ht="15" hidden="false" customHeight="false" outlineLevel="0" collapsed="false">
      <c r="A284" s="0" t="s">
        <v>517</v>
      </c>
      <c r="B284" s="0" t="s">
        <v>94</v>
      </c>
      <c r="C284" s="0" t="s">
        <v>146</v>
      </c>
      <c r="D284" s="0" t="s">
        <v>239</v>
      </c>
      <c r="E284" s="3" t="s">
        <v>211</v>
      </c>
      <c r="G284" s="8" t="s">
        <v>235</v>
      </c>
      <c r="H284" s="0" t="n">
        <v>22.5</v>
      </c>
      <c r="I284" s="0" t="n">
        <v>8</v>
      </c>
      <c r="J284" s="0" t="n">
        <v>3</v>
      </c>
      <c r="K284" s="0" t="n">
        <v>3</v>
      </c>
      <c r="L284" s="0" t="n">
        <v>0</v>
      </c>
      <c r="M284" s="0" t="n">
        <v>0</v>
      </c>
      <c r="N284" s="0" t="n">
        <v>0</v>
      </c>
      <c r="O284" s="8" t="n">
        <f aca="false">ROUND(I284+L284,2)</f>
        <v>8</v>
      </c>
      <c r="P284" s="8" t="n">
        <f aca="false">ROUND(J284+M284,2)</f>
        <v>3</v>
      </c>
      <c r="Q284" s="8" t="n">
        <f aca="false">ROUND(K284+N284,2)</f>
        <v>3</v>
      </c>
    </row>
    <row r="285" customFormat="false" ht="15" hidden="false" customHeight="false" outlineLevel="0" collapsed="false">
      <c r="A285" s="0" t="s">
        <v>518</v>
      </c>
      <c r="B285" s="0" t="s">
        <v>134</v>
      </c>
      <c r="C285" s="0" t="s">
        <v>134</v>
      </c>
      <c r="D285" s="0" t="s">
        <v>234</v>
      </c>
      <c r="E285" s="3" t="s">
        <v>211</v>
      </c>
      <c r="G285" s="8" t="s">
        <v>396</v>
      </c>
      <c r="H285" s="0" t="n">
        <v>21</v>
      </c>
      <c r="I285" s="0" t="n">
        <v>8</v>
      </c>
      <c r="J285" s="0" t="n">
        <v>4.6</v>
      </c>
      <c r="K285" s="0" t="n">
        <v>3.3</v>
      </c>
      <c r="L285" s="0" t="n">
        <v>0.48</v>
      </c>
      <c r="M285" s="0" t="n">
        <v>0.276</v>
      </c>
      <c r="N285" s="0" t="n">
        <v>0.198</v>
      </c>
      <c r="O285" s="8" t="n">
        <f aca="false">ROUND(I285+L285,2)</f>
        <v>8.48</v>
      </c>
      <c r="P285" s="8" t="n">
        <f aca="false">ROUND(J285+M285,2)</f>
        <v>4.88</v>
      </c>
      <c r="Q285" s="8" t="n">
        <f aca="false">ROUND(K285+N285,2)</f>
        <v>3.5</v>
      </c>
    </row>
    <row r="286" customFormat="false" ht="15" hidden="false" customHeight="false" outlineLevel="0" collapsed="false">
      <c r="A286" s="0" t="s">
        <v>519</v>
      </c>
      <c r="B286" s="0" t="s">
        <v>106</v>
      </c>
      <c r="C286" s="0" t="s">
        <v>106</v>
      </c>
      <c r="D286" s="0" t="s">
        <v>234</v>
      </c>
      <c r="E286" s="3" t="s">
        <v>212</v>
      </c>
      <c r="G286" s="8" t="s">
        <v>396</v>
      </c>
      <c r="H286" s="0" t="n">
        <v>14.6</v>
      </c>
      <c r="I286" s="0" t="n">
        <v>8</v>
      </c>
      <c r="J286" s="0" t="n">
        <v>4</v>
      </c>
      <c r="K286" s="0" t="n">
        <v>0.8</v>
      </c>
      <c r="L286" s="0" t="n">
        <v>0.218</v>
      </c>
      <c r="M286" s="0" t="n">
        <v>0.012</v>
      </c>
      <c r="N286" s="0" t="n">
        <v>-0.043</v>
      </c>
      <c r="O286" s="8" t="n">
        <f aca="false">ROUND(I286+L286,2)</f>
        <v>8.22</v>
      </c>
      <c r="P286" s="8" t="n">
        <f aca="false">ROUND(J286+M286,2)</f>
        <v>4.01</v>
      </c>
      <c r="Q286" s="8" t="n">
        <f aca="false">ROUND(K286+N286,2)</f>
        <v>0.76</v>
      </c>
    </row>
    <row r="287" customFormat="false" ht="15" hidden="false" customHeight="false" outlineLevel="0" collapsed="false">
      <c r="A287" s="0" t="s">
        <v>520</v>
      </c>
      <c r="B287" s="0" t="s">
        <v>87</v>
      </c>
      <c r="C287" s="0" t="s">
        <v>87</v>
      </c>
      <c r="D287" s="0" t="s">
        <v>234</v>
      </c>
      <c r="E287" s="3" t="s">
        <v>210</v>
      </c>
      <c r="G287" s="8" t="s">
        <v>396</v>
      </c>
      <c r="H287" s="0" t="n">
        <v>30.3</v>
      </c>
      <c r="I287" s="0" t="n">
        <v>8</v>
      </c>
      <c r="J287" s="0" t="n">
        <v>5.2</v>
      </c>
      <c r="K287" s="0" t="n">
        <v>1.7</v>
      </c>
      <c r="L287" s="0" t="n">
        <v>0.219</v>
      </c>
      <c r="M287" s="0" t="n">
        <v>0.103</v>
      </c>
      <c r="N287" s="0" t="n">
        <v>0.045</v>
      </c>
      <c r="O287" s="8" t="n">
        <f aca="false">ROUND(I287+L287,2)</f>
        <v>8.22</v>
      </c>
      <c r="P287" s="8" t="n">
        <f aca="false">ROUND(J287+M287,2)</f>
        <v>5.3</v>
      </c>
      <c r="Q287" s="8" t="n">
        <f aca="false">ROUND(K287+N287,2)</f>
        <v>1.75</v>
      </c>
    </row>
    <row r="288" customFormat="false" ht="15" hidden="false" customHeight="false" outlineLevel="0" collapsed="false">
      <c r="A288" s="0" t="s">
        <v>521</v>
      </c>
      <c r="B288" s="0" t="s">
        <v>114</v>
      </c>
      <c r="C288" s="0" t="s">
        <v>114</v>
      </c>
      <c r="D288" s="0" t="s">
        <v>234</v>
      </c>
      <c r="E288" s="3" t="s">
        <v>210</v>
      </c>
      <c r="G288" s="8" t="s">
        <v>396</v>
      </c>
      <c r="H288" s="0" t="n">
        <v>17.1</v>
      </c>
      <c r="I288" s="0" t="n">
        <v>8</v>
      </c>
      <c r="J288" s="0" t="n">
        <v>2.1</v>
      </c>
      <c r="K288" s="0" t="n">
        <v>1</v>
      </c>
      <c r="L288" s="0" t="n">
        <v>0.434</v>
      </c>
      <c r="M288" s="0" t="n">
        <v>0.126</v>
      </c>
      <c r="N288" s="0" t="n">
        <v>0.04</v>
      </c>
      <c r="O288" s="8" t="n">
        <f aca="false">ROUND(I288+L288,2)</f>
        <v>8.43</v>
      </c>
      <c r="P288" s="8" t="n">
        <f aca="false">ROUND(J288+M288,2)</f>
        <v>2.23</v>
      </c>
      <c r="Q288" s="8" t="n">
        <f aca="false">ROUND(K288+N288,2)</f>
        <v>1.04</v>
      </c>
    </row>
    <row r="289" customFormat="false" ht="15" hidden="false" customHeight="false" outlineLevel="0" collapsed="false">
      <c r="A289" s="0" t="s">
        <v>522</v>
      </c>
      <c r="B289" s="0" t="s">
        <v>106</v>
      </c>
      <c r="C289" s="0" t="s">
        <v>106</v>
      </c>
      <c r="D289" s="0" t="s">
        <v>234</v>
      </c>
      <c r="E289" s="3" t="s">
        <v>209</v>
      </c>
      <c r="F289" s="8" t="s">
        <v>210</v>
      </c>
      <c r="G289" s="8" t="s">
        <v>235</v>
      </c>
      <c r="H289" s="0" t="n">
        <v>24.4</v>
      </c>
      <c r="I289" s="0" t="n">
        <v>7.9</v>
      </c>
      <c r="J289" s="0" t="n">
        <v>3.9</v>
      </c>
      <c r="K289" s="0" t="n">
        <v>2.1</v>
      </c>
      <c r="L289" s="0" t="n">
        <v>0.132</v>
      </c>
      <c r="M289" s="0" t="n">
        <v>0.007</v>
      </c>
      <c r="N289" s="0" t="n">
        <v>-0.069</v>
      </c>
      <c r="O289" s="8" t="n">
        <f aca="false">ROUND(I289+L289,2)</f>
        <v>8.03</v>
      </c>
      <c r="P289" s="8" t="n">
        <f aca="false">ROUND(J289+M289,2)</f>
        <v>3.91</v>
      </c>
      <c r="Q289" s="8" t="n">
        <f aca="false">ROUND(K289+N289,2)</f>
        <v>2.03</v>
      </c>
    </row>
    <row r="290" customFormat="false" ht="15" hidden="false" customHeight="false" outlineLevel="0" collapsed="false">
      <c r="A290" s="0" t="s">
        <v>523</v>
      </c>
      <c r="B290" s="0" t="s">
        <v>91</v>
      </c>
      <c r="C290" s="0" t="s">
        <v>91</v>
      </c>
      <c r="D290" s="0" t="s">
        <v>234</v>
      </c>
      <c r="E290" s="3" t="s">
        <v>212</v>
      </c>
      <c r="G290" s="8" t="s">
        <v>235</v>
      </c>
      <c r="H290" s="0" t="n">
        <v>26</v>
      </c>
      <c r="I290" s="0" t="n">
        <v>7.9</v>
      </c>
      <c r="J290" s="0" t="n">
        <v>8.7</v>
      </c>
      <c r="K290" s="0" t="n">
        <v>1.9</v>
      </c>
      <c r="L290" s="0" t="n">
        <v>0.474</v>
      </c>
      <c r="M290" s="0" t="n">
        <v>0.245</v>
      </c>
      <c r="N290" s="0" t="n">
        <v>0.114</v>
      </c>
      <c r="O290" s="8" t="n">
        <f aca="false">ROUND(I290+L290,2)</f>
        <v>8.37</v>
      </c>
      <c r="P290" s="8" t="n">
        <f aca="false">ROUND(J290+M290,2)</f>
        <v>8.95</v>
      </c>
      <c r="Q290" s="8" t="n">
        <f aca="false">ROUND(K290+N290,2)</f>
        <v>2.01</v>
      </c>
    </row>
    <row r="291" customFormat="false" ht="15" hidden="false" customHeight="false" outlineLevel="0" collapsed="false">
      <c r="A291" s="0" t="s">
        <v>524</v>
      </c>
      <c r="B291" s="0" t="s">
        <v>87</v>
      </c>
      <c r="C291" s="0" t="s">
        <v>87</v>
      </c>
      <c r="D291" s="0" t="s">
        <v>234</v>
      </c>
      <c r="E291" s="3" t="s">
        <v>209</v>
      </c>
      <c r="G291" s="8" t="s">
        <v>235</v>
      </c>
      <c r="H291" s="0" t="n">
        <v>15.8</v>
      </c>
      <c r="I291" s="0" t="n">
        <v>7.9</v>
      </c>
      <c r="J291" s="0" t="n">
        <v>1.1</v>
      </c>
      <c r="K291" s="0" t="n">
        <v>1.7</v>
      </c>
      <c r="L291" s="0" t="n">
        <v>0.474</v>
      </c>
      <c r="M291" s="0" t="n">
        <v>0.054</v>
      </c>
      <c r="N291" s="0" t="n">
        <v>0.102</v>
      </c>
      <c r="O291" s="8" t="n">
        <f aca="false">ROUND(I291+L291,2)</f>
        <v>8.37</v>
      </c>
      <c r="P291" s="8" t="n">
        <f aca="false">ROUND(J291+M291,2)</f>
        <v>1.15</v>
      </c>
      <c r="Q291" s="8" t="n">
        <f aca="false">ROUND(K291+N291,2)</f>
        <v>1.8</v>
      </c>
    </row>
    <row r="292" customFormat="false" ht="15" hidden="false" customHeight="false" outlineLevel="0" collapsed="false">
      <c r="A292" s="0" t="s">
        <v>525</v>
      </c>
      <c r="B292" s="0" t="s">
        <v>94</v>
      </c>
      <c r="C292" s="0" t="s">
        <v>94</v>
      </c>
      <c r="D292" s="0" t="s">
        <v>234</v>
      </c>
      <c r="E292" s="3" t="s">
        <v>211</v>
      </c>
      <c r="F292" s="8" t="s">
        <v>210</v>
      </c>
      <c r="G292" s="8" t="s">
        <v>235</v>
      </c>
      <c r="H292" s="0" t="n">
        <v>15.6</v>
      </c>
      <c r="I292" s="0" t="n">
        <v>7.8</v>
      </c>
      <c r="J292" s="0" t="n">
        <v>3.9</v>
      </c>
      <c r="K292" s="0" t="n">
        <v>0.9</v>
      </c>
      <c r="L292" s="0" t="n">
        <v>0.468</v>
      </c>
      <c r="M292" s="0" t="n">
        <v>0.234</v>
      </c>
      <c r="N292" s="0" t="n">
        <v>0.054</v>
      </c>
      <c r="O292" s="8" t="n">
        <f aca="false">ROUND(I292+L292,2)</f>
        <v>8.27</v>
      </c>
      <c r="P292" s="8" t="n">
        <f aca="false">ROUND(J292+M292,2)</f>
        <v>4.13</v>
      </c>
      <c r="Q292" s="8" t="n">
        <f aca="false">ROUND(K292+N292,2)</f>
        <v>0.95</v>
      </c>
    </row>
    <row r="293" customFormat="false" ht="15" hidden="false" customHeight="false" outlineLevel="0" collapsed="false">
      <c r="A293" s="0" t="s">
        <v>526</v>
      </c>
      <c r="B293" s="0" t="s">
        <v>134</v>
      </c>
      <c r="C293" s="0" t="s">
        <v>134</v>
      </c>
      <c r="D293" s="0" t="s">
        <v>234</v>
      </c>
      <c r="E293" s="3" t="s">
        <v>208</v>
      </c>
      <c r="F293" s="8" t="s">
        <v>209</v>
      </c>
      <c r="G293" s="8" t="s">
        <v>235</v>
      </c>
      <c r="H293" s="0" t="n">
        <v>20.4</v>
      </c>
      <c r="I293" s="0" t="n">
        <v>7.8</v>
      </c>
      <c r="J293" s="0" t="n">
        <v>2</v>
      </c>
      <c r="K293" s="0" t="n">
        <v>4</v>
      </c>
      <c r="L293" s="0" t="n">
        <v>0.468</v>
      </c>
      <c r="M293" s="0" t="n">
        <v>0.12</v>
      </c>
      <c r="N293" s="0" t="n">
        <v>0.24</v>
      </c>
      <c r="O293" s="8" t="n">
        <f aca="false">ROUND(I293+L293,2)</f>
        <v>8.27</v>
      </c>
      <c r="P293" s="8" t="n">
        <f aca="false">ROUND(J293+M293,2)</f>
        <v>2.12</v>
      </c>
      <c r="Q293" s="8" t="n">
        <f aca="false">ROUND(K293+N293,2)</f>
        <v>4.24</v>
      </c>
    </row>
    <row r="294" customFormat="false" ht="15" hidden="false" customHeight="false" outlineLevel="0" collapsed="false">
      <c r="A294" s="0" t="s">
        <v>527</v>
      </c>
      <c r="B294" s="0" t="s">
        <v>110</v>
      </c>
      <c r="C294" s="0" t="s">
        <v>110</v>
      </c>
      <c r="D294" s="0" t="s">
        <v>234</v>
      </c>
      <c r="E294" s="3" t="s">
        <v>212</v>
      </c>
      <c r="G294" s="8" t="s">
        <v>396</v>
      </c>
      <c r="H294" s="0" t="n">
        <v>13.9</v>
      </c>
      <c r="I294" s="0" t="n">
        <v>7.8</v>
      </c>
      <c r="J294" s="0" t="n">
        <v>4.5</v>
      </c>
      <c r="K294" s="0" t="n">
        <v>1.2</v>
      </c>
      <c r="L294" s="0" t="n">
        <v>0.468</v>
      </c>
      <c r="M294" s="0" t="n">
        <v>0.27</v>
      </c>
      <c r="N294" s="0" t="n">
        <v>0.072</v>
      </c>
      <c r="O294" s="8" t="n">
        <f aca="false">ROUND(I294+L294,2)</f>
        <v>8.27</v>
      </c>
      <c r="P294" s="8" t="n">
        <f aca="false">ROUND(J294+M294,2)</f>
        <v>4.77</v>
      </c>
      <c r="Q294" s="8" t="n">
        <f aca="false">ROUND(K294+N294,2)</f>
        <v>1.27</v>
      </c>
    </row>
    <row r="295" customFormat="false" ht="15" hidden="false" customHeight="false" outlineLevel="0" collapsed="false">
      <c r="A295" s="0" t="s">
        <v>528</v>
      </c>
      <c r="B295" s="0" t="s">
        <v>188</v>
      </c>
      <c r="C295" s="0" t="s">
        <v>188</v>
      </c>
      <c r="D295" s="0" t="s">
        <v>234</v>
      </c>
      <c r="E295" s="3" t="s">
        <v>212</v>
      </c>
      <c r="G295" s="8" t="s">
        <v>235</v>
      </c>
      <c r="H295" s="0" t="n">
        <v>16.6</v>
      </c>
      <c r="I295" s="0" t="n">
        <v>7.8</v>
      </c>
      <c r="J295" s="0" t="n">
        <v>6.6</v>
      </c>
      <c r="K295" s="0" t="n">
        <v>1.2</v>
      </c>
      <c r="L295" s="0" t="n">
        <v>0.468</v>
      </c>
      <c r="M295" s="0" t="n">
        <v>0.396</v>
      </c>
      <c r="N295" s="0" t="n">
        <v>0.072</v>
      </c>
      <c r="O295" s="8" t="n">
        <f aca="false">ROUND(I295+L295,2)</f>
        <v>8.27</v>
      </c>
      <c r="P295" s="8" t="n">
        <f aca="false">ROUND(J295+M295,2)</f>
        <v>7</v>
      </c>
      <c r="Q295" s="8" t="n">
        <f aca="false">ROUND(K295+N295,2)</f>
        <v>1.27</v>
      </c>
    </row>
    <row r="296" customFormat="false" ht="15" hidden="false" customHeight="false" outlineLevel="0" collapsed="false">
      <c r="A296" s="0" t="s">
        <v>529</v>
      </c>
      <c r="B296" s="0" t="s">
        <v>165</v>
      </c>
      <c r="C296" s="0" t="s">
        <v>165</v>
      </c>
      <c r="D296" s="0" t="s">
        <v>234</v>
      </c>
      <c r="E296" s="3" t="s">
        <v>211</v>
      </c>
      <c r="G296" s="8" t="s">
        <v>235</v>
      </c>
      <c r="H296" s="0" t="n">
        <v>23.8</v>
      </c>
      <c r="I296" s="0" t="n">
        <v>7.7</v>
      </c>
      <c r="J296" s="0" t="n">
        <v>4.8</v>
      </c>
      <c r="K296" s="0" t="n">
        <v>1.2</v>
      </c>
      <c r="L296" s="0" t="n">
        <v>0.462</v>
      </c>
      <c r="M296" s="0" t="n">
        <v>0.288</v>
      </c>
      <c r="N296" s="0" t="n">
        <v>0.072</v>
      </c>
      <c r="O296" s="8" t="n">
        <f aca="false">ROUND(I296+L296,2)</f>
        <v>8.16</v>
      </c>
      <c r="P296" s="8" t="n">
        <f aca="false">ROUND(J296+M296,2)</f>
        <v>5.09</v>
      </c>
      <c r="Q296" s="8" t="n">
        <f aca="false">ROUND(K296+N296,2)</f>
        <v>1.27</v>
      </c>
    </row>
    <row r="297" customFormat="false" ht="15" hidden="false" customHeight="false" outlineLevel="0" collapsed="false">
      <c r="A297" s="0" t="s">
        <v>530</v>
      </c>
      <c r="B297" s="0" t="s">
        <v>114</v>
      </c>
      <c r="C297" s="0" t="s">
        <v>134</v>
      </c>
      <c r="D297" s="0" t="s">
        <v>239</v>
      </c>
      <c r="E297" s="3" t="s">
        <v>212</v>
      </c>
      <c r="G297" s="8" t="s">
        <v>235</v>
      </c>
      <c r="H297" s="0" t="n">
        <v>17.3</v>
      </c>
      <c r="I297" s="0" t="n">
        <v>7.7</v>
      </c>
      <c r="J297" s="0" t="n">
        <v>4</v>
      </c>
      <c r="K297" s="0" t="n">
        <v>1.4</v>
      </c>
      <c r="L297" s="0" t="n">
        <v>0</v>
      </c>
      <c r="M297" s="0" t="n">
        <v>0</v>
      </c>
      <c r="N297" s="0" t="n">
        <v>0</v>
      </c>
      <c r="O297" s="8" t="n">
        <f aca="false">ROUND(I297+L297,2)</f>
        <v>7.7</v>
      </c>
      <c r="P297" s="8" t="n">
        <f aca="false">ROUND(J297+M297,2)</f>
        <v>4</v>
      </c>
      <c r="Q297" s="8" t="n">
        <f aca="false">ROUND(K297+N297,2)</f>
        <v>1.4</v>
      </c>
    </row>
    <row r="298" customFormat="false" ht="15" hidden="false" customHeight="false" outlineLevel="0" collapsed="false">
      <c r="A298" s="0" t="s">
        <v>531</v>
      </c>
      <c r="B298" s="0" t="s">
        <v>142</v>
      </c>
      <c r="C298" s="0" t="s">
        <v>142</v>
      </c>
      <c r="D298" s="0" t="s">
        <v>243</v>
      </c>
      <c r="E298" s="3" t="s">
        <v>210</v>
      </c>
      <c r="F298" s="8" t="s">
        <v>211</v>
      </c>
      <c r="G298" s="8" t="s">
        <v>235</v>
      </c>
      <c r="H298" s="0" t="n">
        <v>19.3</v>
      </c>
      <c r="I298" s="0" t="n">
        <v>7.6</v>
      </c>
      <c r="J298" s="0" t="n">
        <v>3.2</v>
      </c>
      <c r="K298" s="0" t="n">
        <v>2.4</v>
      </c>
      <c r="L298" s="0" t="n">
        <v>0.421</v>
      </c>
      <c r="M298" s="0" t="n">
        <v>0.192</v>
      </c>
      <c r="N298" s="0" t="n">
        <v>0.033</v>
      </c>
      <c r="O298" s="8" t="n">
        <f aca="false">ROUND(I298+L298,2)</f>
        <v>8.02</v>
      </c>
      <c r="P298" s="8" t="n">
        <f aca="false">ROUND(J298+M298,2)</f>
        <v>3.39</v>
      </c>
      <c r="Q298" s="8" t="n">
        <f aca="false">ROUND(K298+N298,2)</f>
        <v>2.43</v>
      </c>
    </row>
    <row r="299" customFormat="false" ht="15" hidden="false" customHeight="false" outlineLevel="0" collapsed="false">
      <c r="A299" s="0" t="s">
        <v>532</v>
      </c>
      <c r="B299" s="0" t="s">
        <v>79</v>
      </c>
      <c r="C299" s="0" t="s">
        <v>94</v>
      </c>
      <c r="D299" s="0" t="s">
        <v>239</v>
      </c>
      <c r="E299" s="3" t="s">
        <v>209</v>
      </c>
      <c r="G299" s="8" t="s">
        <v>235</v>
      </c>
      <c r="H299" s="0" t="n">
        <v>16.1</v>
      </c>
      <c r="I299" s="0" t="n">
        <v>7.6</v>
      </c>
      <c r="J299" s="0" t="n">
        <v>2.3</v>
      </c>
      <c r="K299" s="0" t="n">
        <v>1.4</v>
      </c>
      <c r="L299" s="0" t="n">
        <v>0</v>
      </c>
      <c r="M299" s="0" t="n">
        <v>0</v>
      </c>
      <c r="N299" s="0" t="n">
        <v>0</v>
      </c>
      <c r="O299" s="8" t="n">
        <f aca="false">ROUND(I299+L299,2)</f>
        <v>7.6</v>
      </c>
      <c r="P299" s="8" t="n">
        <f aca="false">ROUND(J299+M299,2)</f>
        <v>2.3</v>
      </c>
      <c r="Q299" s="8" t="n">
        <f aca="false">ROUND(K299+N299,2)</f>
        <v>1.4</v>
      </c>
    </row>
    <row r="300" customFormat="false" ht="15" hidden="false" customHeight="false" outlineLevel="0" collapsed="false">
      <c r="A300" s="0" t="s">
        <v>533</v>
      </c>
      <c r="B300" s="0" t="s">
        <v>91</v>
      </c>
      <c r="C300" s="0" t="s">
        <v>91</v>
      </c>
      <c r="D300" s="0" t="s">
        <v>234</v>
      </c>
      <c r="E300" s="3" t="s">
        <v>212</v>
      </c>
      <c r="G300" s="8" t="s">
        <v>235</v>
      </c>
      <c r="H300" s="0" t="n">
        <v>21.4</v>
      </c>
      <c r="I300" s="0" t="n">
        <v>7.6</v>
      </c>
      <c r="J300" s="0" t="n">
        <v>5.5</v>
      </c>
      <c r="K300" s="0" t="n">
        <v>0.8</v>
      </c>
      <c r="L300" s="0" t="n">
        <v>0.456</v>
      </c>
      <c r="M300" s="0" t="n">
        <v>0.206</v>
      </c>
      <c r="N300" s="0" t="n">
        <v>0.048</v>
      </c>
      <c r="O300" s="8" t="n">
        <f aca="false">ROUND(I300+L300,2)</f>
        <v>8.06</v>
      </c>
      <c r="P300" s="8" t="n">
        <f aca="false">ROUND(J300+M300,2)</f>
        <v>5.71</v>
      </c>
      <c r="Q300" s="8" t="n">
        <f aca="false">ROUND(K300+N300,2)</f>
        <v>0.85</v>
      </c>
    </row>
    <row r="301" customFormat="false" ht="15" hidden="false" customHeight="false" outlineLevel="0" collapsed="false">
      <c r="A301" s="0" t="s">
        <v>534</v>
      </c>
      <c r="B301" s="0" t="s">
        <v>188</v>
      </c>
      <c r="C301" s="0" t="s">
        <v>188</v>
      </c>
      <c r="D301" s="0" t="s">
        <v>234</v>
      </c>
      <c r="E301" s="3" t="s">
        <v>209</v>
      </c>
      <c r="F301" s="8" t="s">
        <v>210</v>
      </c>
      <c r="G301" s="8" t="s">
        <v>235</v>
      </c>
      <c r="H301" s="0" t="n">
        <v>20.5</v>
      </c>
      <c r="I301" s="0" t="n">
        <v>7.5</v>
      </c>
      <c r="J301" s="0" t="n">
        <v>3.9</v>
      </c>
      <c r="K301" s="0" t="n">
        <v>4.2</v>
      </c>
      <c r="L301" s="0" t="n">
        <v>0.45</v>
      </c>
      <c r="M301" s="0" t="n">
        <v>0.234</v>
      </c>
      <c r="N301" s="0" t="n">
        <v>0.252</v>
      </c>
      <c r="O301" s="8" t="n">
        <f aca="false">ROUND(I301+L301,2)</f>
        <v>7.95</v>
      </c>
      <c r="P301" s="8" t="n">
        <f aca="false">ROUND(J301+M301,2)</f>
        <v>4.13</v>
      </c>
      <c r="Q301" s="8" t="n">
        <f aca="false">ROUND(K301+N301,2)</f>
        <v>4.45</v>
      </c>
    </row>
    <row r="302" customFormat="false" ht="15" hidden="false" customHeight="false" outlineLevel="0" collapsed="false">
      <c r="A302" s="0" t="s">
        <v>535</v>
      </c>
      <c r="B302" s="0" t="s">
        <v>130</v>
      </c>
      <c r="C302" s="0" t="s">
        <v>188</v>
      </c>
      <c r="D302" s="0" t="s">
        <v>239</v>
      </c>
      <c r="E302" s="3" t="s">
        <v>212</v>
      </c>
      <c r="G302" s="8" t="s">
        <v>235</v>
      </c>
      <c r="H302" s="0" t="n">
        <v>18.3</v>
      </c>
      <c r="I302" s="0" t="n">
        <v>7.5</v>
      </c>
      <c r="J302" s="0" t="n">
        <v>4.1</v>
      </c>
      <c r="K302" s="0" t="n">
        <v>0.9</v>
      </c>
      <c r="L302" s="0" t="n">
        <v>0</v>
      </c>
      <c r="M302" s="0" t="n">
        <v>0</v>
      </c>
      <c r="N302" s="0" t="n">
        <v>0</v>
      </c>
      <c r="O302" s="8" t="n">
        <f aca="false">ROUND(I302+L302,2)</f>
        <v>7.5</v>
      </c>
      <c r="P302" s="8" t="n">
        <f aca="false">ROUND(J302+M302,2)</f>
        <v>4.1</v>
      </c>
      <c r="Q302" s="8" t="n">
        <f aca="false">ROUND(K302+N302,2)</f>
        <v>0.9</v>
      </c>
    </row>
    <row r="303" customFormat="false" ht="15" hidden="false" customHeight="false" outlineLevel="0" collapsed="false">
      <c r="A303" s="0" t="s">
        <v>536</v>
      </c>
      <c r="B303" s="0" t="s">
        <v>114</v>
      </c>
      <c r="C303" s="0" t="s">
        <v>114</v>
      </c>
      <c r="D303" s="0" t="s">
        <v>243</v>
      </c>
      <c r="E303" s="3" t="s">
        <v>209</v>
      </c>
      <c r="F303" s="8" t="s">
        <v>208</v>
      </c>
      <c r="G303" s="8" t="s">
        <v>235</v>
      </c>
      <c r="H303" s="0" t="n">
        <v>15.6</v>
      </c>
      <c r="I303" s="0" t="n">
        <v>7.5</v>
      </c>
      <c r="J303" s="0" t="n">
        <v>3.6</v>
      </c>
      <c r="K303" s="0" t="n">
        <v>1.7</v>
      </c>
      <c r="L303" s="0" t="n">
        <v>0.433</v>
      </c>
      <c r="M303" s="0" t="n">
        <v>0.216</v>
      </c>
      <c r="N303" s="0" t="n">
        <v>0.073</v>
      </c>
      <c r="O303" s="8" t="n">
        <f aca="false">ROUND(I303+L303,2)</f>
        <v>7.93</v>
      </c>
      <c r="P303" s="8" t="n">
        <f aca="false">ROUND(J303+M303,2)</f>
        <v>3.82</v>
      </c>
      <c r="Q303" s="8" t="n">
        <f aca="false">ROUND(K303+N303,2)</f>
        <v>1.77</v>
      </c>
    </row>
    <row r="304" customFormat="false" ht="15" hidden="false" customHeight="false" outlineLevel="0" collapsed="false">
      <c r="A304" s="0" t="s">
        <v>537</v>
      </c>
      <c r="B304" s="0" t="s">
        <v>87</v>
      </c>
      <c r="C304" s="0" t="s">
        <v>87</v>
      </c>
      <c r="D304" s="0" t="s">
        <v>234</v>
      </c>
      <c r="E304" s="3" t="s">
        <v>208</v>
      </c>
      <c r="G304" s="8" t="s">
        <v>235</v>
      </c>
      <c r="H304" s="0" t="n">
        <v>20.8</v>
      </c>
      <c r="I304" s="0" t="n">
        <v>7.5</v>
      </c>
      <c r="J304" s="0" t="n">
        <v>2.1</v>
      </c>
      <c r="K304" s="0" t="n">
        <v>3.3</v>
      </c>
      <c r="L304" s="0" t="n">
        <v>0.406</v>
      </c>
      <c r="M304" s="0" t="n">
        <v>0.082</v>
      </c>
      <c r="N304" s="0" t="n">
        <v>0.174</v>
      </c>
      <c r="O304" s="8" t="n">
        <f aca="false">ROUND(I304+L304,2)</f>
        <v>7.91</v>
      </c>
      <c r="P304" s="8" t="n">
        <f aca="false">ROUND(J304+M304,2)</f>
        <v>2.18</v>
      </c>
      <c r="Q304" s="8" t="n">
        <f aca="false">ROUND(K304+N304,2)</f>
        <v>3.47</v>
      </c>
    </row>
    <row r="305" customFormat="false" ht="15" hidden="false" customHeight="false" outlineLevel="0" collapsed="false">
      <c r="A305" s="0" t="s">
        <v>538</v>
      </c>
      <c r="B305" s="0" t="s">
        <v>184</v>
      </c>
      <c r="C305" s="0" t="s">
        <v>184</v>
      </c>
      <c r="D305" s="0" t="s">
        <v>234</v>
      </c>
      <c r="E305" s="3" t="s">
        <v>209</v>
      </c>
      <c r="G305" s="8" t="s">
        <v>235</v>
      </c>
      <c r="H305" s="0" t="n">
        <v>20.5</v>
      </c>
      <c r="I305" s="0" t="n">
        <v>7.5</v>
      </c>
      <c r="J305" s="0" t="n">
        <v>2.6</v>
      </c>
      <c r="K305" s="0" t="n">
        <v>1.2</v>
      </c>
      <c r="L305" s="0" t="n">
        <v>0.45</v>
      </c>
      <c r="M305" s="0" t="n">
        <v>0.156</v>
      </c>
      <c r="N305" s="0" t="n">
        <v>0.072</v>
      </c>
      <c r="O305" s="8" t="n">
        <f aca="false">ROUND(I305+L305,2)</f>
        <v>7.95</v>
      </c>
      <c r="P305" s="8" t="n">
        <f aca="false">ROUND(J305+M305,2)</f>
        <v>2.76</v>
      </c>
      <c r="Q305" s="8" t="n">
        <f aca="false">ROUND(K305+N305,2)</f>
        <v>1.27</v>
      </c>
    </row>
    <row r="306" customFormat="false" ht="15" hidden="false" customHeight="false" outlineLevel="0" collapsed="false">
      <c r="A306" s="0" t="s">
        <v>539</v>
      </c>
      <c r="B306" s="0" t="s">
        <v>87</v>
      </c>
      <c r="C306" s="0" t="s">
        <v>87</v>
      </c>
      <c r="D306" s="0" t="s">
        <v>243</v>
      </c>
      <c r="E306" s="3" t="s">
        <v>211</v>
      </c>
      <c r="G306" s="8" t="s">
        <v>235</v>
      </c>
      <c r="H306" s="0" t="n">
        <v>17</v>
      </c>
      <c r="I306" s="0" t="n">
        <v>7.4</v>
      </c>
      <c r="J306" s="0" t="n">
        <v>3.2</v>
      </c>
      <c r="K306" s="0" t="n">
        <v>0.9</v>
      </c>
      <c r="L306" s="0" t="n">
        <v>0.444</v>
      </c>
      <c r="M306" s="0" t="n">
        <v>0.15</v>
      </c>
      <c r="N306" s="0" t="n">
        <v>0.054</v>
      </c>
      <c r="O306" s="8" t="n">
        <f aca="false">ROUND(I306+L306,2)</f>
        <v>7.84</v>
      </c>
      <c r="P306" s="8" t="n">
        <f aca="false">ROUND(J306+M306,2)</f>
        <v>3.35</v>
      </c>
      <c r="Q306" s="8" t="n">
        <f aca="false">ROUND(K306+N306,2)</f>
        <v>0.95</v>
      </c>
    </row>
    <row r="307" customFormat="false" ht="15" hidden="false" customHeight="false" outlineLevel="0" collapsed="false">
      <c r="A307" s="0" t="s">
        <v>540</v>
      </c>
      <c r="B307" s="0" t="s">
        <v>134</v>
      </c>
      <c r="C307" s="0" t="s">
        <v>134</v>
      </c>
      <c r="D307" s="0" t="s">
        <v>234</v>
      </c>
      <c r="E307" s="3" t="s">
        <v>211</v>
      </c>
      <c r="G307" s="8" t="s">
        <v>235</v>
      </c>
      <c r="H307" s="0" t="n">
        <v>18.9</v>
      </c>
      <c r="I307" s="0" t="n">
        <v>7.4</v>
      </c>
      <c r="J307" s="0" t="n">
        <v>3.7</v>
      </c>
      <c r="K307" s="0" t="n">
        <v>0.9</v>
      </c>
      <c r="L307" s="0" t="n">
        <v>0.444</v>
      </c>
      <c r="M307" s="0" t="n">
        <v>0.222</v>
      </c>
      <c r="N307" s="0" t="n">
        <v>0.054</v>
      </c>
      <c r="O307" s="8" t="n">
        <f aca="false">ROUND(I307+L307,2)</f>
        <v>7.84</v>
      </c>
      <c r="P307" s="8" t="n">
        <f aca="false">ROUND(J307+M307,2)</f>
        <v>3.92</v>
      </c>
      <c r="Q307" s="8" t="n">
        <f aca="false">ROUND(K307+N307,2)</f>
        <v>0.95</v>
      </c>
    </row>
    <row r="308" customFormat="false" ht="15" hidden="false" customHeight="false" outlineLevel="0" collapsed="false">
      <c r="A308" s="0" t="s">
        <v>541</v>
      </c>
      <c r="B308" s="0" t="s">
        <v>154</v>
      </c>
      <c r="C308" s="0" t="s">
        <v>154</v>
      </c>
      <c r="D308" s="0" t="s">
        <v>243</v>
      </c>
      <c r="E308" s="3" t="s">
        <v>208</v>
      </c>
      <c r="G308" s="8" t="s">
        <v>235</v>
      </c>
      <c r="H308" s="0" t="n">
        <v>19.9</v>
      </c>
      <c r="I308" s="0" t="n">
        <v>7.4</v>
      </c>
      <c r="J308" s="0" t="n">
        <v>2.5</v>
      </c>
      <c r="K308" s="0" t="n">
        <v>3.4</v>
      </c>
      <c r="L308" s="0" t="n">
        <v>0.058</v>
      </c>
      <c r="M308" s="0" t="n">
        <v>0.124</v>
      </c>
      <c r="N308" s="0" t="n">
        <v>0.006</v>
      </c>
      <c r="O308" s="8" t="n">
        <f aca="false">ROUND(I308+L308,2)</f>
        <v>7.46</v>
      </c>
      <c r="P308" s="8" t="n">
        <f aca="false">ROUND(J308+M308,2)</f>
        <v>2.62</v>
      </c>
      <c r="Q308" s="8" t="n">
        <f aca="false">ROUND(K308+N308,2)</f>
        <v>3.41</v>
      </c>
    </row>
    <row r="309" customFormat="false" ht="15" hidden="false" customHeight="false" outlineLevel="0" collapsed="false">
      <c r="A309" s="0" t="s">
        <v>542</v>
      </c>
      <c r="B309" s="0" t="s">
        <v>126</v>
      </c>
      <c r="C309" s="0" t="s">
        <v>118</v>
      </c>
      <c r="D309" s="0" t="s">
        <v>239</v>
      </c>
      <c r="E309" s="3" t="s">
        <v>209</v>
      </c>
      <c r="G309" s="8" t="s">
        <v>235</v>
      </c>
      <c r="H309" s="0" t="n">
        <v>19.7</v>
      </c>
      <c r="I309" s="0" t="n">
        <v>7.4</v>
      </c>
      <c r="J309" s="0" t="n">
        <v>2.6</v>
      </c>
      <c r="K309" s="0" t="n">
        <v>2.2</v>
      </c>
      <c r="L309" s="0" t="n">
        <v>0</v>
      </c>
      <c r="M309" s="0" t="n">
        <v>0</v>
      </c>
      <c r="N309" s="0" t="n">
        <v>0</v>
      </c>
      <c r="O309" s="8" t="n">
        <f aca="false">ROUND(I309+L309,2)</f>
        <v>7.4</v>
      </c>
      <c r="P309" s="8" t="n">
        <f aca="false">ROUND(J309+M309,2)</f>
        <v>2.6</v>
      </c>
      <c r="Q309" s="8" t="n">
        <f aca="false">ROUND(K309+N309,2)</f>
        <v>2.2</v>
      </c>
    </row>
    <row r="310" customFormat="false" ht="15" hidden="false" customHeight="false" outlineLevel="0" collapsed="false">
      <c r="A310" s="0" t="s">
        <v>543</v>
      </c>
      <c r="B310" s="0" t="s">
        <v>110</v>
      </c>
      <c r="C310" s="0" t="s">
        <v>142</v>
      </c>
      <c r="D310" s="0" t="s">
        <v>239</v>
      </c>
      <c r="E310" s="3" t="s">
        <v>209</v>
      </c>
      <c r="G310" s="8" t="s">
        <v>235</v>
      </c>
      <c r="H310" s="0" t="n">
        <v>19.2</v>
      </c>
      <c r="I310" s="0" t="n">
        <v>7.4</v>
      </c>
      <c r="J310" s="0" t="n">
        <v>2</v>
      </c>
      <c r="K310" s="0" t="n">
        <v>2.7</v>
      </c>
      <c r="L310" s="0" t="n">
        <v>0</v>
      </c>
      <c r="M310" s="0" t="n">
        <v>0</v>
      </c>
      <c r="N310" s="0" t="n">
        <v>0</v>
      </c>
      <c r="O310" s="8" t="n">
        <f aca="false">ROUND(I310+L310,2)</f>
        <v>7.4</v>
      </c>
      <c r="P310" s="8" t="n">
        <f aca="false">ROUND(J310+M310,2)</f>
        <v>2</v>
      </c>
      <c r="Q310" s="8" t="n">
        <f aca="false">ROUND(K310+N310,2)</f>
        <v>2.7</v>
      </c>
    </row>
    <row r="311" customFormat="false" ht="15" hidden="false" customHeight="false" outlineLevel="0" collapsed="false">
      <c r="A311" s="0" t="s">
        <v>544</v>
      </c>
      <c r="B311" s="0" t="s">
        <v>165</v>
      </c>
      <c r="C311" s="0" t="s">
        <v>165</v>
      </c>
      <c r="D311" s="0" t="s">
        <v>234</v>
      </c>
      <c r="E311" s="3" t="s">
        <v>208</v>
      </c>
      <c r="G311" s="8" t="s">
        <v>235</v>
      </c>
      <c r="H311" s="0" t="n">
        <v>17</v>
      </c>
      <c r="I311" s="0" t="n">
        <v>7.4</v>
      </c>
      <c r="J311" s="0" t="n">
        <v>2</v>
      </c>
      <c r="K311" s="0" t="n">
        <v>2.6</v>
      </c>
      <c r="L311" s="0" t="n">
        <v>0.444</v>
      </c>
      <c r="M311" s="0" t="n">
        <v>0.12</v>
      </c>
      <c r="N311" s="0" t="n">
        <v>0.156</v>
      </c>
      <c r="O311" s="8" t="n">
        <f aca="false">ROUND(I311+L311,2)</f>
        <v>7.84</v>
      </c>
      <c r="P311" s="8" t="n">
        <f aca="false">ROUND(J311+M311,2)</f>
        <v>2.12</v>
      </c>
      <c r="Q311" s="8" t="n">
        <f aca="false">ROUND(K311+N311,2)</f>
        <v>2.76</v>
      </c>
    </row>
    <row r="312" customFormat="false" ht="15" hidden="false" customHeight="false" outlineLevel="0" collapsed="false">
      <c r="A312" s="0" t="s">
        <v>545</v>
      </c>
      <c r="B312" s="0" t="s">
        <v>192</v>
      </c>
      <c r="C312" s="0" t="s">
        <v>192</v>
      </c>
      <c r="D312" s="0" t="s">
        <v>234</v>
      </c>
      <c r="E312" s="3" t="s">
        <v>210</v>
      </c>
      <c r="G312" s="8" t="s">
        <v>235</v>
      </c>
      <c r="H312" s="0" t="n">
        <v>20.6</v>
      </c>
      <c r="I312" s="0" t="n">
        <v>7.4</v>
      </c>
      <c r="J312" s="0" t="n">
        <v>3.9</v>
      </c>
      <c r="K312" s="0" t="n">
        <v>1.3</v>
      </c>
      <c r="L312" s="0" t="n">
        <v>0.444</v>
      </c>
      <c r="M312" s="0" t="n">
        <v>0.224</v>
      </c>
      <c r="N312" s="0" t="n">
        <v>0.078</v>
      </c>
      <c r="O312" s="8" t="n">
        <f aca="false">ROUND(I312+L312,2)</f>
        <v>7.84</v>
      </c>
      <c r="P312" s="8" t="n">
        <f aca="false">ROUND(J312+M312,2)</f>
        <v>4.12</v>
      </c>
      <c r="Q312" s="8" t="n">
        <f aca="false">ROUND(K312+N312,2)</f>
        <v>1.38</v>
      </c>
    </row>
    <row r="313" customFormat="false" ht="15" hidden="false" customHeight="false" outlineLevel="0" collapsed="false">
      <c r="A313" s="0" t="s">
        <v>546</v>
      </c>
      <c r="B313" s="0" t="s">
        <v>126</v>
      </c>
      <c r="C313" s="0" t="s">
        <v>126</v>
      </c>
      <c r="D313" s="0" t="s">
        <v>234</v>
      </c>
      <c r="E313" s="3" t="s">
        <v>208</v>
      </c>
      <c r="G313" s="8" t="s">
        <v>235</v>
      </c>
      <c r="H313" s="0" t="n">
        <v>27.2</v>
      </c>
      <c r="I313" s="0" t="n">
        <v>7.3</v>
      </c>
      <c r="J313" s="0" t="n">
        <v>3.3</v>
      </c>
      <c r="K313" s="0" t="n">
        <v>3.6</v>
      </c>
      <c r="L313" s="0" t="n">
        <v>0.438</v>
      </c>
      <c r="M313" s="0" t="n">
        <v>0.198</v>
      </c>
      <c r="N313" s="0" t="n">
        <v>0.216</v>
      </c>
      <c r="O313" s="8" t="n">
        <f aca="false">ROUND(I313+L313,2)</f>
        <v>7.74</v>
      </c>
      <c r="P313" s="8" t="n">
        <f aca="false">ROUND(J313+M313,2)</f>
        <v>3.5</v>
      </c>
      <c r="Q313" s="8" t="n">
        <f aca="false">ROUND(K313+N313,2)</f>
        <v>3.82</v>
      </c>
    </row>
    <row r="314" customFormat="false" ht="15" hidden="false" customHeight="false" outlineLevel="0" collapsed="false">
      <c r="A314" s="0" t="s">
        <v>547</v>
      </c>
      <c r="B314" s="0" t="s">
        <v>138</v>
      </c>
      <c r="C314" s="0" t="s">
        <v>138</v>
      </c>
      <c r="D314" s="0" t="s">
        <v>234</v>
      </c>
      <c r="E314" s="3" t="s">
        <v>211</v>
      </c>
      <c r="F314" s="8" t="s">
        <v>210</v>
      </c>
      <c r="G314" s="8" t="s">
        <v>235</v>
      </c>
      <c r="H314" s="0" t="n">
        <v>17.2</v>
      </c>
      <c r="I314" s="0" t="n">
        <v>7.3</v>
      </c>
      <c r="J314" s="0" t="n">
        <v>3.3</v>
      </c>
      <c r="K314" s="0" t="n">
        <v>2.2</v>
      </c>
      <c r="L314" s="0" t="n">
        <v>0.438</v>
      </c>
      <c r="M314" s="0" t="n">
        <v>0.198</v>
      </c>
      <c r="N314" s="0" t="n">
        <v>0.132</v>
      </c>
      <c r="O314" s="8" t="n">
        <f aca="false">ROUND(I314+L314,2)</f>
        <v>7.74</v>
      </c>
      <c r="P314" s="8" t="n">
        <f aca="false">ROUND(J314+M314,2)</f>
        <v>3.5</v>
      </c>
      <c r="Q314" s="8" t="n">
        <f aca="false">ROUND(K314+N314,2)</f>
        <v>2.33</v>
      </c>
    </row>
    <row r="315" customFormat="false" ht="15" hidden="false" customHeight="false" outlineLevel="0" collapsed="false">
      <c r="A315" s="0" t="s">
        <v>548</v>
      </c>
      <c r="B315" s="0" t="s">
        <v>126</v>
      </c>
      <c r="C315" s="0" t="s">
        <v>126</v>
      </c>
      <c r="D315" s="0" t="s">
        <v>243</v>
      </c>
      <c r="E315" s="3" t="s">
        <v>209</v>
      </c>
      <c r="G315" s="8" t="s">
        <v>235</v>
      </c>
      <c r="H315" s="0" t="n">
        <v>19.9</v>
      </c>
      <c r="I315" s="0" t="n">
        <v>7.3</v>
      </c>
      <c r="J315" s="0" t="n">
        <v>2.3</v>
      </c>
      <c r="K315" s="0" t="n">
        <v>1.6</v>
      </c>
      <c r="L315" s="0" t="n">
        <v>0.438</v>
      </c>
      <c r="M315" s="0" t="n">
        <v>0.138</v>
      </c>
      <c r="N315" s="0" t="n">
        <v>0.096</v>
      </c>
      <c r="O315" s="8" t="n">
        <f aca="false">ROUND(I315+L315,2)</f>
        <v>7.74</v>
      </c>
      <c r="P315" s="8" t="n">
        <f aca="false">ROUND(J315+M315,2)</f>
        <v>2.44</v>
      </c>
      <c r="Q315" s="8" t="n">
        <f aca="false">ROUND(K315+N315,2)</f>
        <v>1.7</v>
      </c>
    </row>
    <row r="316" customFormat="false" ht="15" hidden="false" customHeight="false" outlineLevel="0" collapsed="false">
      <c r="A316" s="0" t="s">
        <v>549</v>
      </c>
      <c r="B316" s="0" t="s">
        <v>122</v>
      </c>
      <c r="C316" s="0" t="s">
        <v>122</v>
      </c>
      <c r="D316" s="0" t="s">
        <v>234</v>
      </c>
      <c r="E316" s="3" t="s">
        <v>210</v>
      </c>
      <c r="G316" s="8" t="s">
        <v>396</v>
      </c>
      <c r="H316" s="0" t="n">
        <v>23.9</v>
      </c>
      <c r="I316" s="0" t="n">
        <v>7.3</v>
      </c>
      <c r="J316" s="0" t="n">
        <v>4.4</v>
      </c>
      <c r="K316" s="0" t="n">
        <v>2.8</v>
      </c>
      <c r="L316" s="0" t="n">
        <v>0.438</v>
      </c>
      <c r="M316" s="0" t="n">
        <v>0.264</v>
      </c>
      <c r="N316" s="0" t="n">
        <v>0.168</v>
      </c>
      <c r="O316" s="8" t="n">
        <f aca="false">ROUND(I316+L316,2)</f>
        <v>7.74</v>
      </c>
      <c r="P316" s="8" t="n">
        <f aca="false">ROUND(J316+M316,2)</f>
        <v>4.66</v>
      </c>
      <c r="Q316" s="8" t="n">
        <f aca="false">ROUND(K316+N316,2)</f>
        <v>2.97</v>
      </c>
    </row>
    <row r="317" customFormat="false" ht="15" hidden="false" customHeight="false" outlineLevel="0" collapsed="false">
      <c r="A317" s="0" t="s">
        <v>550</v>
      </c>
      <c r="B317" s="0" t="s">
        <v>87</v>
      </c>
      <c r="C317" s="0" t="s">
        <v>87</v>
      </c>
      <c r="D317" s="0" t="s">
        <v>234</v>
      </c>
      <c r="E317" s="3" t="s">
        <v>209</v>
      </c>
      <c r="F317" s="8" t="s">
        <v>210</v>
      </c>
      <c r="G317" s="8" t="s">
        <v>235</v>
      </c>
      <c r="H317" s="0" t="n">
        <v>24.3</v>
      </c>
      <c r="I317" s="0" t="n">
        <v>7.2</v>
      </c>
      <c r="J317" s="0" t="n">
        <v>3.2</v>
      </c>
      <c r="K317" s="0" t="n">
        <v>3</v>
      </c>
      <c r="L317" s="0" t="n">
        <v>0.319</v>
      </c>
      <c r="M317" s="0" t="n">
        <v>0.102</v>
      </c>
      <c r="N317" s="0" t="n">
        <v>0.129</v>
      </c>
      <c r="O317" s="8" t="n">
        <f aca="false">ROUND(I317+L317,2)</f>
        <v>7.52</v>
      </c>
      <c r="P317" s="8" t="n">
        <f aca="false">ROUND(J317+M317,2)</f>
        <v>3.3</v>
      </c>
      <c r="Q317" s="8" t="n">
        <f aca="false">ROUND(K317+N317,2)</f>
        <v>3.13</v>
      </c>
    </row>
    <row r="318" customFormat="false" ht="15" hidden="false" customHeight="false" outlineLevel="0" collapsed="false">
      <c r="A318" s="0" t="s">
        <v>551</v>
      </c>
      <c r="B318" s="0" t="s">
        <v>114</v>
      </c>
      <c r="C318" s="0" t="s">
        <v>114</v>
      </c>
      <c r="D318" s="0" t="s">
        <v>234</v>
      </c>
      <c r="E318" s="3" t="s">
        <v>208</v>
      </c>
      <c r="G318" s="8" t="s">
        <v>235</v>
      </c>
      <c r="H318" s="0" t="n">
        <v>18.6</v>
      </c>
      <c r="I318" s="0" t="n">
        <v>7.2</v>
      </c>
      <c r="J318" s="0" t="n">
        <v>2.4</v>
      </c>
      <c r="K318" s="0" t="n">
        <v>3.5</v>
      </c>
      <c r="L318" s="0" t="n">
        <v>0.365</v>
      </c>
      <c r="M318" s="0" t="n">
        <v>0.144</v>
      </c>
      <c r="N318" s="0" t="n">
        <v>0.131</v>
      </c>
      <c r="O318" s="8" t="n">
        <f aca="false">ROUND(I318+L318,2)</f>
        <v>7.57</v>
      </c>
      <c r="P318" s="8" t="n">
        <f aca="false">ROUND(J318+M318,2)</f>
        <v>2.54</v>
      </c>
      <c r="Q318" s="8" t="n">
        <f aca="false">ROUND(K318+N318,2)</f>
        <v>3.63</v>
      </c>
    </row>
    <row r="319" customFormat="false" ht="15" hidden="false" customHeight="false" outlineLevel="0" collapsed="false">
      <c r="A319" s="0" t="s">
        <v>552</v>
      </c>
      <c r="B319" s="0" t="s">
        <v>106</v>
      </c>
      <c r="C319" s="0" t="s">
        <v>106</v>
      </c>
      <c r="D319" s="0" t="s">
        <v>234</v>
      </c>
      <c r="E319" s="3" t="s">
        <v>210</v>
      </c>
      <c r="F319" s="8" t="s">
        <v>209</v>
      </c>
      <c r="G319" s="8" t="s">
        <v>235</v>
      </c>
      <c r="H319" s="0" t="n">
        <v>15.1</v>
      </c>
      <c r="I319" s="0" t="n">
        <v>7.2</v>
      </c>
      <c r="J319" s="0" t="n">
        <v>2</v>
      </c>
      <c r="K319" s="0" t="n">
        <v>1.1</v>
      </c>
      <c r="L319" s="0" t="n">
        <v>0.192</v>
      </c>
      <c r="M319" s="0" t="n">
        <v>0.006</v>
      </c>
      <c r="N319" s="0" t="n">
        <v>-0.058</v>
      </c>
      <c r="O319" s="8" t="n">
        <f aca="false">ROUND(I319+L319,2)</f>
        <v>7.39</v>
      </c>
      <c r="P319" s="8" t="n">
        <f aca="false">ROUND(J319+M319,2)</f>
        <v>2.01</v>
      </c>
      <c r="Q319" s="8" t="n">
        <f aca="false">ROUND(K319+N319,2)</f>
        <v>1.04</v>
      </c>
    </row>
    <row r="320" customFormat="false" ht="15" hidden="false" customHeight="false" outlineLevel="0" collapsed="false">
      <c r="A320" s="0" t="s">
        <v>553</v>
      </c>
      <c r="B320" s="0" t="s">
        <v>158</v>
      </c>
      <c r="C320" s="0" t="s">
        <v>158</v>
      </c>
      <c r="D320" s="0" t="s">
        <v>234</v>
      </c>
      <c r="E320" s="3" t="s">
        <v>212</v>
      </c>
      <c r="F320" s="8" t="s">
        <v>211</v>
      </c>
      <c r="G320" s="8" t="s">
        <v>235</v>
      </c>
      <c r="H320" s="0" t="n">
        <v>19.6</v>
      </c>
      <c r="I320" s="0" t="n">
        <v>7.2</v>
      </c>
      <c r="J320" s="0" t="n">
        <v>5.5</v>
      </c>
      <c r="K320" s="0" t="n">
        <v>2.4</v>
      </c>
      <c r="L320" s="0" t="n">
        <v>0.432</v>
      </c>
      <c r="M320" s="0" t="n">
        <v>0.33</v>
      </c>
      <c r="N320" s="0" t="n">
        <v>0.144</v>
      </c>
      <c r="O320" s="8" t="n">
        <f aca="false">ROUND(I320+L320,2)</f>
        <v>7.63</v>
      </c>
      <c r="P320" s="8" t="n">
        <f aca="false">ROUND(J320+M320,2)</f>
        <v>5.83</v>
      </c>
      <c r="Q320" s="8" t="n">
        <f aca="false">ROUND(K320+N320,2)</f>
        <v>2.54</v>
      </c>
    </row>
    <row r="321" customFormat="false" ht="15" hidden="false" customHeight="false" outlineLevel="0" collapsed="false">
      <c r="A321" s="0" t="s">
        <v>554</v>
      </c>
      <c r="B321" s="0" t="s">
        <v>192</v>
      </c>
      <c r="C321" s="0" t="s">
        <v>192</v>
      </c>
      <c r="D321" s="0" t="s">
        <v>234</v>
      </c>
      <c r="E321" s="3" t="s">
        <v>210</v>
      </c>
      <c r="G321" s="8" t="s">
        <v>235</v>
      </c>
      <c r="H321" s="0" t="n">
        <v>28.9</v>
      </c>
      <c r="I321" s="0" t="n">
        <v>7.1</v>
      </c>
      <c r="J321" s="0" t="n">
        <v>5</v>
      </c>
      <c r="K321" s="0" t="n">
        <v>1.5</v>
      </c>
      <c r="L321" s="0" t="n">
        <v>0.408</v>
      </c>
      <c r="M321" s="0" t="n">
        <v>0.164</v>
      </c>
      <c r="N321" s="0" t="n">
        <v>0.057</v>
      </c>
      <c r="O321" s="8" t="n">
        <f aca="false">ROUND(I321+L321,2)</f>
        <v>7.51</v>
      </c>
      <c r="P321" s="8" t="n">
        <f aca="false">ROUND(J321+M321,2)</f>
        <v>5.16</v>
      </c>
      <c r="Q321" s="8" t="n">
        <f aca="false">ROUND(K321+N321,2)</f>
        <v>1.56</v>
      </c>
    </row>
    <row r="322" customFormat="false" ht="15" hidden="false" customHeight="false" outlineLevel="0" collapsed="false">
      <c r="A322" s="0" t="s">
        <v>555</v>
      </c>
      <c r="B322" s="0" t="s">
        <v>114</v>
      </c>
      <c r="C322" s="0" t="s">
        <v>114</v>
      </c>
      <c r="D322" s="0" t="s">
        <v>234</v>
      </c>
      <c r="E322" s="3" t="s">
        <v>210</v>
      </c>
      <c r="G322" s="8" t="s">
        <v>396</v>
      </c>
      <c r="H322" s="0" t="n">
        <v>13.3</v>
      </c>
      <c r="I322" s="0" t="n">
        <v>7.1</v>
      </c>
      <c r="J322" s="0" t="n">
        <v>1.2</v>
      </c>
      <c r="K322" s="0" t="n">
        <v>1</v>
      </c>
      <c r="L322" s="0" t="n">
        <v>0.426</v>
      </c>
      <c r="M322" s="0" t="n">
        <v>0.072</v>
      </c>
      <c r="N322" s="0" t="n">
        <v>0.047</v>
      </c>
      <c r="O322" s="8" t="n">
        <f aca="false">ROUND(I322+L322,2)</f>
        <v>7.53</v>
      </c>
      <c r="P322" s="8" t="n">
        <f aca="false">ROUND(J322+M322,2)</f>
        <v>1.27</v>
      </c>
      <c r="Q322" s="8" t="n">
        <f aca="false">ROUND(K322+N322,2)</f>
        <v>1.05</v>
      </c>
    </row>
    <row r="323" customFormat="false" ht="15" hidden="false" customHeight="false" outlineLevel="0" collapsed="false">
      <c r="A323" s="0" t="s">
        <v>556</v>
      </c>
      <c r="B323" s="0" t="s">
        <v>122</v>
      </c>
      <c r="C323" s="0" t="s">
        <v>122</v>
      </c>
      <c r="D323" s="0" t="s">
        <v>234</v>
      </c>
      <c r="E323" s="3" t="s">
        <v>209</v>
      </c>
      <c r="F323" s="8" t="s">
        <v>210</v>
      </c>
      <c r="G323" s="8" t="s">
        <v>235</v>
      </c>
      <c r="H323" s="0" t="n">
        <v>21.4</v>
      </c>
      <c r="I323" s="0" t="n">
        <v>7.1</v>
      </c>
      <c r="J323" s="0" t="n">
        <v>3</v>
      </c>
      <c r="K323" s="0" t="n">
        <v>1.8</v>
      </c>
      <c r="L323" s="0" t="n">
        <v>0.426</v>
      </c>
      <c r="M323" s="0" t="n">
        <v>0.18</v>
      </c>
      <c r="N323" s="0" t="n">
        <v>0.108</v>
      </c>
      <c r="O323" s="8" t="n">
        <f aca="false">ROUND(I323+L323,2)</f>
        <v>7.53</v>
      </c>
      <c r="P323" s="8" t="n">
        <f aca="false">ROUND(J323+M323,2)</f>
        <v>3.18</v>
      </c>
      <c r="Q323" s="8" t="n">
        <f aca="false">ROUND(K323+N323,2)</f>
        <v>1.91</v>
      </c>
    </row>
    <row r="324" customFormat="false" ht="15" hidden="false" customHeight="false" outlineLevel="0" collapsed="false">
      <c r="A324" s="0" t="s">
        <v>557</v>
      </c>
      <c r="B324" s="0" t="s">
        <v>134</v>
      </c>
      <c r="C324" s="0" t="s">
        <v>134</v>
      </c>
      <c r="D324" s="0" t="s">
        <v>234</v>
      </c>
      <c r="E324" s="3" t="s">
        <v>212</v>
      </c>
      <c r="G324" s="8" t="s">
        <v>235</v>
      </c>
      <c r="H324" s="0" t="n">
        <v>24.5</v>
      </c>
      <c r="I324" s="0" t="n">
        <v>7</v>
      </c>
      <c r="J324" s="0" t="n">
        <v>7.5</v>
      </c>
      <c r="K324" s="0" t="n">
        <v>1.5</v>
      </c>
      <c r="L324" s="0" t="n">
        <v>0.42</v>
      </c>
      <c r="M324" s="0" t="n">
        <v>0.45</v>
      </c>
      <c r="N324" s="0" t="n">
        <v>0.09</v>
      </c>
      <c r="O324" s="8" t="n">
        <f aca="false">ROUND(I324+L324,2)</f>
        <v>7.42</v>
      </c>
      <c r="P324" s="8" t="n">
        <f aca="false">ROUND(J324+M324,2)</f>
        <v>7.95</v>
      </c>
      <c r="Q324" s="8" t="n">
        <f aca="false">ROUND(K324+N324,2)</f>
        <v>1.59</v>
      </c>
    </row>
    <row r="325" customFormat="false" ht="15" hidden="false" customHeight="false" outlineLevel="0" collapsed="false">
      <c r="A325" s="0" t="s">
        <v>558</v>
      </c>
      <c r="B325" s="0" t="s">
        <v>122</v>
      </c>
      <c r="C325" s="0" t="s">
        <v>122</v>
      </c>
      <c r="D325" s="0" t="s">
        <v>234</v>
      </c>
      <c r="E325" s="3" t="s">
        <v>210</v>
      </c>
      <c r="G325" s="8" t="s">
        <v>396</v>
      </c>
      <c r="H325" s="0" t="n">
        <v>20.4</v>
      </c>
      <c r="I325" s="0" t="n">
        <v>7</v>
      </c>
      <c r="J325" s="0" t="n">
        <v>2.2</v>
      </c>
      <c r="K325" s="0" t="n">
        <v>1.8</v>
      </c>
      <c r="L325" s="0" t="n">
        <v>0.42</v>
      </c>
      <c r="M325" s="0" t="n">
        <v>0.132</v>
      </c>
      <c r="N325" s="0" t="n">
        <v>0.108</v>
      </c>
      <c r="O325" s="8" t="n">
        <f aca="false">ROUND(I325+L325,2)</f>
        <v>7.42</v>
      </c>
      <c r="P325" s="8" t="n">
        <f aca="false">ROUND(J325+M325,2)</f>
        <v>2.33</v>
      </c>
      <c r="Q325" s="8" t="n">
        <f aca="false">ROUND(K325+N325,2)</f>
        <v>1.91</v>
      </c>
    </row>
    <row r="326" customFormat="false" ht="15" hidden="false" customHeight="false" outlineLevel="0" collapsed="false">
      <c r="A326" s="0" t="s">
        <v>559</v>
      </c>
      <c r="B326" s="0" t="s">
        <v>91</v>
      </c>
      <c r="C326" s="0" t="s">
        <v>91</v>
      </c>
      <c r="D326" s="0" t="s">
        <v>234</v>
      </c>
      <c r="E326" s="3" t="s">
        <v>211</v>
      </c>
      <c r="G326" s="8" t="s">
        <v>235</v>
      </c>
      <c r="H326" s="0" t="n">
        <v>19.8</v>
      </c>
      <c r="I326" s="0" t="n">
        <v>7</v>
      </c>
      <c r="J326" s="0" t="n">
        <v>3.9</v>
      </c>
      <c r="K326" s="0" t="n">
        <v>1.6</v>
      </c>
      <c r="L326" s="0" t="n">
        <v>0.42</v>
      </c>
      <c r="M326" s="0" t="n">
        <v>0.159</v>
      </c>
      <c r="N326" s="0" t="n">
        <v>0.096</v>
      </c>
      <c r="O326" s="8" t="n">
        <f aca="false">ROUND(I326+L326,2)</f>
        <v>7.42</v>
      </c>
      <c r="P326" s="8" t="n">
        <f aca="false">ROUND(J326+M326,2)</f>
        <v>4.06</v>
      </c>
      <c r="Q326" s="8" t="n">
        <f aca="false">ROUND(K326+N326,2)</f>
        <v>1.7</v>
      </c>
    </row>
    <row r="327" customFormat="false" ht="15" hidden="false" customHeight="false" outlineLevel="0" collapsed="false">
      <c r="A327" s="0" t="s">
        <v>560</v>
      </c>
      <c r="B327" s="0" t="s">
        <v>94</v>
      </c>
      <c r="C327" s="0" t="s">
        <v>94</v>
      </c>
      <c r="D327" s="0" t="s">
        <v>234</v>
      </c>
      <c r="E327" s="3" t="s">
        <v>211</v>
      </c>
      <c r="G327" s="8" t="s">
        <v>235</v>
      </c>
      <c r="H327" s="0" t="n">
        <v>20.5</v>
      </c>
      <c r="I327" s="0" t="n">
        <v>7</v>
      </c>
      <c r="J327" s="0" t="n">
        <v>3</v>
      </c>
      <c r="K327" s="0" t="n">
        <v>1.5</v>
      </c>
      <c r="L327" s="0" t="n">
        <v>0.42</v>
      </c>
      <c r="M327" s="0" t="n">
        <v>0.18</v>
      </c>
      <c r="N327" s="0" t="n">
        <v>0.09</v>
      </c>
      <c r="O327" s="8" t="n">
        <f aca="false">ROUND(I327+L327,2)</f>
        <v>7.42</v>
      </c>
      <c r="P327" s="8" t="n">
        <f aca="false">ROUND(J327+M327,2)</f>
        <v>3.18</v>
      </c>
      <c r="Q327" s="8" t="n">
        <f aca="false">ROUND(K327+N327,2)</f>
        <v>1.59</v>
      </c>
    </row>
    <row r="328" customFormat="false" ht="15" hidden="false" customHeight="false" outlineLevel="0" collapsed="false">
      <c r="A328" s="0" t="s">
        <v>561</v>
      </c>
      <c r="B328" s="0" t="s">
        <v>110</v>
      </c>
      <c r="C328" s="0" t="s">
        <v>110</v>
      </c>
      <c r="D328" s="0" t="s">
        <v>243</v>
      </c>
      <c r="E328" s="3" t="s">
        <v>210</v>
      </c>
      <c r="G328" s="8" t="s">
        <v>235</v>
      </c>
      <c r="H328" s="0" t="n">
        <v>17.6</v>
      </c>
      <c r="I328" s="0" t="n">
        <v>6.9</v>
      </c>
      <c r="J328" s="0" t="n">
        <v>2.8</v>
      </c>
      <c r="K328" s="0" t="n">
        <v>0.7</v>
      </c>
      <c r="L328" s="0" t="n">
        <v>0.414</v>
      </c>
      <c r="M328" s="0" t="n">
        <v>0.168</v>
      </c>
      <c r="N328" s="0" t="n">
        <v>0.042</v>
      </c>
      <c r="O328" s="8" t="n">
        <f aca="false">ROUND(I328+L328,2)</f>
        <v>7.31</v>
      </c>
      <c r="P328" s="8" t="n">
        <f aca="false">ROUND(J328+M328,2)</f>
        <v>2.97</v>
      </c>
      <c r="Q328" s="8" t="n">
        <f aca="false">ROUND(K328+N328,2)</f>
        <v>0.74</v>
      </c>
    </row>
    <row r="329" customFormat="false" ht="15" hidden="false" customHeight="false" outlineLevel="0" collapsed="false">
      <c r="A329" s="0" t="s">
        <v>562</v>
      </c>
      <c r="B329" s="0" t="s">
        <v>161</v>
      </c>
      <c r="C329" s="0" t="s">
        <v>87</v>
      </c>
      <c r="D329" s="0" t="s">
        <v>239</v>
      </c>
      <c r="E329" s="3" t="s">
        <v>212</v>
      </c>
      <c r="G329" s="8" t="s">
        <v>396</v>
      </c>
      <c r="H329" s="0" t="n">
        <v>11.9</v>
      </c>
      <c r="I329" s="0" t="n">
        <v>6.9</v>
      </c>
      <c r="J329" s="0" t="n">
        <v>3.2</v>
      </c>
      <c r="K329" s="0" t="n">
        <v>0.8</v>
      </c>
      <c r="L329" s="0" t="n">
        <v>0</v>
      </c>
      <c r="M329" s="0" t="n">
        <v>0</v>
      </c>
      <c r="N329" s="0" t="n">
        <v>0</v>
      </c>
      <c r="O329" s="8" t="n">
        <f aca="false">ROUND(I329+L329,2)</f>
        <v>6.9</v>
      </c>
      <c r="P329" s="8" t="n">
        <f aca="false">ROUND(J329+M329,2)</f>
        <v>3.2</v>
      </c>
      <c r="Q329" s="8" t="n">
        <f aca="false">ROUND(K329+N329,2)</f>
        <v>0.8</v>
      </c>
    </row>
    <row r="330" customFormat="false" ht="15" hidden="false" customHeight="false" outlineLevel="0" collapsed="false">
      <c r="A330" s="0" t="s">
        <v>563</v>
      </c>
      <c r="B330" s="0" t="s">
        <v>165</v>
      </c>
      <c r="C330" s="0" t="s">
        <v>165</v>
      </c>
      <c r="D330" s="0" t="s">
        <v>234</v>
      </c>
      <c r="E330" s="3" t="s">
        <v>210</v>
      </c>
      <c r="G330" s="8" t="s">
        <v>396</v>
      </c>
      <c r="H330" s="0" t="n">
        <v>14</v>
      </c>
      <c r="I330" s="0" t="n">
        <v>6.8</v>
      </c>
      <c r="J330" s="0" t="n">
        <v>2.3</v>
      </c>
      <c r="K330" s="0" t="n">
        <v>1.1</v>
      </c>
      <c r="L330" s="0" t="n">
        <v>0.408</v>
      </c>
      <c r="M330" s="0" t="n">
        <v>0.138</v>
      </c>
      <c r="N330" s="0" t="n">
        <v>0.066</v>
      </c>
      <c r="O330" s="8" t="n">
        <f aca="false">ROUND(I330+L330,2)</f>
        <v>7.21</v>
      </c>
      <c r="P330" s="8" t="n">
        <f aca="false">ROUND(J330+M330,2)</f>
        <v>2.44</v>
      </c>
      <c r="Q330" s="8" t="n">
        <f aca="false">ROUND(K330+N330,2)</f>
        <v>1.17</v>
      </c>
    </row>
    <row r="331" customFormat="false" ht="15" hidden="false" customHeight="false" outlineLevel="0" collapsed="false">
      <c r="A331" s="0" t="s">
        <v>564</v>
      </c>
      <c r="B331" s="0" t="s">
        <v>188</v>
      </c>
      <c r="C331" s="0" t="s">
        <v>188</v>
      </c>
      <c r="D331" s="0" t="s">
        <v>234</v>
      </c>
      <c r="E331" s="3" t="s">
        <v>209</v>
      </c>
      <c r="G331" s="8" t="s">
        <v>396</v>
      </c>
      <c r="H331" s="0" t="n">
        <v>21</v>
      </c>
      <c r="I331" s="0" t="n">
        <v>6.8</v>
      </c>
      <c r="J331" s="0" t="n">
        <v>2</v>
      </c>
      <c r="K331" s="0" t="n">
        <v>2.9</v>
      </c>
      <c r="L331" s="0" t="n">
        <v>0.408</v>
      </c>
      <c r="M331" s="0" t="n">
        <v>0.12</v>
      </c>
      <c r="N331" s="0" t="n">
        <v>0.174</v>
      </c>
      <c r="O331" s="8" t="n">
        <f aca="false">ROUND(I331+L331,2)</f>
        <v>7.21</v>
      </c>
      <c r="P331" s="8" t="n">
        <f aca="false">ROUND(J331+M331,2)</f>
        <v>2.12</v>
      </c>
      <c r="Q331" s="8" t="n">
        <f aca="false">ROUND(K331+N331,2)</f>
        <v>3.07</v>
      </c>
    </row>
    <row r="332" customFormat="false" ht="15" hidden="false" customHeight="false" outlineLevel="0" collapsed="false">
      <c r="A332" s="0" t="s">
        <v>565</v>
      </c>
      <c r="B332" s="0" t="s">
        <v>98</v>
      </c>
      <c r="C332" s="0" t="s">
        <v>87</v>
      </c>
      <c r="D332" s="0" t="s">
        <v>239</v>
      </c>
      <c r="E332" s="3" t="s">
        <v>209</v>
      </c>
      <c r="G332" s="8" t="s">
        <v>235</v>
      </c>
      <c r="H332" s="0" t="n">
        <v>20.5</v>
      </c>
      <c r="I332" s="0" t="n">
        <v>6.7</v>
      </c>
      <c r="J332" s="0" t="n">
        <v>1.9</v>
      </c>
      <c r="K332" s="0" t="n">
        <v>1</v>
      </c>
      <c r="L332" s="0" t="n">
        <v>0</v>
      </c>
      <c r="M332" s="0" t="n">
        <v>0</v>
      </c>
      <c r="N332" s="0" t="n">
        <v>0</v>
      </c>
      <c r="O332" s="8" t="n">
        <f aca="false">ROUND(I332+L332,2)</f>
        <v>6.7</v>
      </c>
      <c r="P332" s="8" t="n">
        <f aca="false">ROUND(J332+M332,2)</f>
        <v>1.9</v>
      </c>
      <c r="Q332" s="8" t="n">
        <f aca="false">ROUND(K332+N332,2)</f>
        <v>1</v>
      </c>
    </row>
    <row r="333" customFormat="false" ht="15" hidden="false" customHeight="false" outlineLevel="0" collapsed="false">
      <c r="A333" s="0" t="s">
        <v>566</v>
      </c>
      <c r="B333" s="0" t="s">
        <v>126</v>
      </c>
      <c r="C333" s="0" t="s">
        <v>126</v>
      </c>
      <c r="D333" s="0" t="s">
        <v>234</v>
      </c>
      <c r="E333" s="3" t="s">
        <v>212</v>
      </c>
      <c r="G333" s="8" t="s">
        <v>235</v>
      </c>
      <c r="H333" s="0" t="n">
        <v>16.5</v>
      </c>
      <c r="I333" s="0" t="n">
        <v>6.7</v>
      </c>
      <c r="J333" s="0" t="n">
        <v>5.3</v>
      </c>
      <c r="K333" s="0" t="n">
        <v>0.9</v>
      </c>
      <c r="L333" s="0" t="n">
        <v>0.402</v>
      </c>
      <c r="M333" s="0" t="n">
        <v>0.318</v>
      </c>
      <c r="N333" s="0" t="n">
        <v>0.054</v>
      </c>
      <c r="O333" s="8" t="n">
        <f aca="false">ROUND(I333+L333,2)</f>
        <v>7.1</v>
      </c>
      <c r="P333" s="8" t="n">
        <f aca="false">ROUND(J333+M333,2)</f>
        <v>5.62</v>
      </c>
      <c r="Q333" s="8" t="n">
        <f aca="false">ROUND(K333+N333,2)</f>
        <v>0.95</v>
      </c>
    </row>
    <row r="334" customFormat="false" ht="15" hidden="false" customHeight="false" outlineLevel="0" collapsed="false">
      <c r="A334" s="0" t="s">
        <v>567</v>
      </c>
      <c r="B334" s="0" t="s">
        <v>142</v>
      </c>
      <c r="C334" s="0" t="s">
        <v>142</v>
      </c>
      <c r="D334" s="0" t="s">
        <v>234</v>
      </c>
      <c r="E334" s="3" t="s">
        <v>208</v>
      </c>
      <c r="G334" s="8" t="s">
        <v>235</v>
      </c>
      <c r="H334" s="0" t="n">
        <v>15.1</v>
      </c>
      <c r="I334" s="0" t="n">
        <v>6.7</v>
      </c>
      <c r="J334" s="0" t="n">
        <v>2.5</v>
      </c>
      <c r="K334" s="0" t="n">
        <v>3.5</v>
      </c>
      <c r="L334" s="0" t="n">
        <v>0.402</v>
      </c>
      <c r="M334" s="0" t="n">
        <v>0.15</v>
      </c>
      <c r="N334" s="0" t="n">
        <v>0.057</v>
      </c>
      <c r="O334" s="8" t="n">
        <f aca="false">ROUND(I334+L334,2)</f>
        <v>7.1</v>
      </c>
      <c r="P334" s="8" t="n">
        <f aca="false">ROUND(J334+M334,2)</f>
        <v>2.65</v>
      </c>
      <c r="Q334" s="8" t="n">
        <f aca="false">ROUND(K334+N334,2)</f>
        <v>3.56</v>
      </c>
    </row>
    <row r="335" customFormat="false" ht="15" hidden="false" customHeight="false" outlineLevel="0" collapsed="false">
      <c r="A335" s="0" t="s">
        <v>568</v>
      </c>
      <c r="B335" s="0" t="s">
        <v>188</v>
      </c>
      <c r="C335" s="0" t="s">
        <v>188</v>
      </c>
      <c r="D335" s="0" t="s">
        <v>234</v>
      </c>
      <c r="E335" s="3" t="s">
        <v>212</v>
      </c>
      <c r="F335" s="8" t="s">
        <v>211</v>
      </c>
      <c r="G335" s="8" t="s">
        <v>235</v>
      </c>
      <c r="H335" s="0" t="n">
        <v>16.6</v>
      </c>
      <c r="I335" s="0" t="n">
        <v>6.7</v>
      </c>
      <c r="J335" s="0" t="n">
        <v>5.8</v>
      </c>
      <c r="K335" s="0" t="n">
        <v>1.8</v>
      </c>
      <c r="L335" s="0" t="n">
        <v>0.402</v>
      </c>
      <c r="M335" s="0" t="n">
        <v>0.348</v>
      </c>
      <c r="N335" s="0" t="n">
        <v>0.108</v>
      </c>
      <c r="O335" s="8" t="n">
        <f aca="false">ROUND(I335+L335,2)</f>
        <v>7.1</v>
      </c>
      <c r="P335" s="8" t="n">
        <f aca="false">ROUND(J335+M335,2)</f>
        <v>6.15</v>
      </c>
      <c r="Q335" s="8" t="n">
        <f aca="false">ROUND(K335+N335,2)</f>
        <v>1.91</v>
      </c>
    </row>
    <row r="336" customFormat="false" ht="15" hidden="false" customHeight="false" outlineLevel="0" collapsed="false">
      <c r="A336" s="0" t="s">
        <v>569</v>
      </c>
      <c r="B336" s="0" t="s">
        <v>173</v>
      </c>
      <c r="C336" s="0" t="s">
        <v>173</v>
      </c>
      <c r="D336" s="0" t="s">
        <v>234</v>
      </c>
      <c r="E336" s="3" t="s">
        <v>212</v>
      </c>
      <c r="G336" s="8" t="s">
        <v>235</v>
      </c>
      <c r="H336" s="0" t="n">
        <v>17.1</v>
      </c>
      <c r="I336" s="0" t="n">
        <v>6.7</v>
      </c>
      <c r="J336" s="0" t="n">
        <v>7</v>
      </c>
      <c r="K336" s="0" t="n">
        <v>1</v>
      </c>
      <c r="L336" s="0" t="n">
        <v>0.259</v>
      </c>
      <c r="M336" s="0" t="n">
        <v>0.186</v>
      </c>
      <c r="N336" s="0" t="n">
        <v>-0.026</v>
      </c>
      <c r="O336" s="8" t="n">
        <f aca="false">ROUND(I336+L336,2)</f>
        <v>6.96</v>
      </c>
      <c r="P336" s="8" t="n">
        <f aca="false">ROUND(J336+M336,2)</f>
        <v>7.19</v>
      </c>
      <c r="Q336" s="8" t="n">
        <f aca="false">ROUND(K336+N336,2)</f>
        <v>0.97</v>
      </c>
    </row>
    <row r="337" customFormat="false" ht="15" hidden="false" customHeight="false" outlineLevel="0" collapsed="false">
      <c r="A337" s="0" t="s">
        <v>570</v>
      </c>
      <c r="B337" s="0" t="s">
        <v>102</v>
      </c>
      <c r="C337" s="0" t="s">
        <v>91</v>
      </c>
      <c r="D337" s="0" t="s">
        <v>239</v>
      </c>
      <c r="E337" s="3" t="s">
        <v>208</v>
      </c>
      <c r="G337" s="8" t="s">
        <v>235</v>
      </c>
      <c r="H337" s="0" t="n">
        <v>19.5</v>
      </c>
      <c r="I337" s="0" t="n">
        <v>6.6</v>
      </c>
      <c r="J337" s="0" t="n">
        <v>2.2</v>
      </c>
      <c r="K337" s="0" t="n">
        <v>5.3</v>
      </c>
      <c r="L337" s="0" t="n">
        <v>0</v>
      </c>
      <c r="M337" s="0" t="n">
        <v>0</v>
      </c>
      <c r="N337" s="0" t="n">
        <v>0</v>
      </c>
      <c r="O337" s="8" t="n">
        <f aca="false">ROUND(I337+L337,2)</f>
        <v>6.6</v>
      </c>
      <c r="P337" s="8" t="n">
        <f aca="false">ROUND(J337+M337,2)</f>
        <v>2.2</v>
      </c>
      <c r="Q337" s="8" t="n">
        <f aca="false">ROUND(K337+N337,2)</f>
        <v>5.3</v>
      </c>
    </row>
    <row r="338" customFormat="false" ht="15" hidden="false" customHeight="false" outlineLevel="0" collapsed="false">
      <c r="A338" s="0" t="s">
        <v>571</v>
      </c>
      <c r="B338" s="0" t="s">
        <v>184</v>
      </c>
      <c r="C338" s="0" t="s">
        <v>184</v>
      </c>
      <c r="D338" s="0" t="s">
        <v>243</v>
      </c>
      <c r="E338" s="3" t="s">
        <v>208</v>
      </c>
      <c r="G338" s="8" t="s">
        <v>235</v>
      </c>
      <c r="H338" s="0" t="n">
        <v>22.6</v>
      </c>
      <c r="I338" s="0" t="n">
        <v>6.6</v>
      </c>
      <c r="J338" s="0" t="n">
        <v>1.7</v>
      </c>
      <c r="K338" s="0" t="n">
        <v>5.4</v>
      </c>
      <c r="L338" s="0" t="n">
        <v>0.396</v>
      </c>
      <c r="M338" s="0" t="n">
        <v>0.102</v>
      </c>
      <c r="N338" s="0" t="n">
        <v>0.291</v>
      </c>
      <c r="O338" s="8" t="n">
        <f aca="false">ROUND(I338+L338,2)</f>
        <v>7</v>
      </c>
      <c r="P338" s="8" t="n">
        <f aca="false">ROUND(J338+M338,2)</f>
        <v>1.8</v>
      </c>
      <c r="Q338" s="8" t="n">
        <f aca="false">ROUND(K338+N338,2)</f>
        <v>5.69</v>
      </c>
    </row>
    <row r="339" customFormat="false" ht="15" hidden="false" customHeight="false" outlineLevel="0" collapsed="false">
      <c r="A339" s="0" t="s">
        <v>572</v>
      </c>
      <c r="B339" s="0" t="s">
        <v>169</v>
      </c>
      <c r="C339" s="0" t="s">
        <v>169</v>
      </c>
      <c r="D339" s="0" t="s">
        <v>234</v>
      </c>
      <c r="E339" s="3" t="s">
        <v>212</v>
      </c>
      <c r="F339" s="8" t="s">
        <v>211</v>
      </c>
      <c r="G339" s="8" t="s">
        <v>235</v>
      </c>
      <c r="H339" s="0" t="n">
        <v>22</v>
      </c>
      <c r="I339" s="0" t="n">
        <v>6.5</v>
      </c>
      <c r="J339" s="0" t="n">
        <v>5.1</v>
      </c>
      <c r="K339" s="0" t="n">
        <v>2.3</v>
      </c>
      <c r="L339" s="0" t="n">
        <v>0.199</v>
      </c>
      <c r="M339" s="0" t="n">
        <v>0.103</v>
      </c>
      <c r="N339" s="0" t="n">
        <v>0.104</v>
      </c>
      <c r="O339" s="8" t="n">
        <f aca="false">ROUND(I339+L339,2)</f>
        <v>6.7</v>
      </c>
      <c r="P339" s="8" t="n">
        <f aca="false">ROUND(J339+M339,2)</f>
        <v>5.2</v>
      </c>
      <c r="Q339" s="8" t="n">
        <f aca="false">ROUND(K339+N339,2)</f>
        <v>2.4</v>
      </c>
    </row>
    <row r="340" customFormat="false" ht="15" hidden="false" customHeight="false" outlineLevel="0" collapsed="false">
      <c r="A340" s="0" t="s">
        <v>573</v>
      </c>
      <c r="B340" s="0" t="s">
        <v>180</v>
      </c>
      <c r="C340" s="0" t="s">
        <v>180</v>
      </c>
      <c r="D340" s="0" t="s">
        <v>234</v>
      </c>
      <c r="E340" s="3" t="s">
        <v>212</v>
      </c>
      <c r="G340" s="8" t="s">
        <v>235</v>
      </c>
      <c r="H340" s="0" t="n">
        <v>21</v>
      </c>
      <c r="I340" s="0" t="n">
        <v>6.5</v>
      </c>
      <c r="J340" s="0" t="n">
        <v>6.1</v>
      </c>
      <c r="K340" s="0" t="n">
        <v>1.9</v>
      </c>
      <c r="L340" s="0" t="n">
        <v>-0.085</v>
      </c>
      <c r="M340" s="0" t="n">
        <v>-0.023</v>
      </c>
      <c r="N340" s="0" t="n">
        <v>-0.014</v>
      </c>
      <c r="O340" s="8" t="n">
        <f aca="false">ROUND(I340+L340,2)</f>
        <v>6.42</v>
      </c>
      <c r="P340" s="8" t="n">
        <f aca="false">ROUND(J340+M340,2)</f>
        <v>6.08</v>
      </c>
      <c r="Q340" s="8" t="n">
        <f aca="false">ROUND(K340+N340,2)</f>
        <v>1.89</v>
      </c>
    </row>
    <row r="341" customFormat="false" ht="15" hidden="false" customHeight="false" outlineLevel="0" collapsed="false">
      <c r="A341" s="0" t="s">
        <v>574</v>
      </c>
      <c r="B341" s="0" t="s">
        <v>87</v>
      </c>
      <c r="C341" s="0" t="s">
        <v>87</v>
      </c>
      <c r="D341" s="0" t="s">
        <v>234</v>
      </c>
      <c r="E341" s="3" t="s">
        <v>210</v>
      </c>
      <c r="G341" s="8" t="s">
        <v>235</v>
      </c>
      <c r="H341" s="0" t="n">
        <v>21</v>
      </c>
      <c r="I341" s="0" t="n">
        <v>6.5</v>
      </c>
      <c r="J341" s="0" t="n">
        <v>1.8</v>
      </c>
      <c r="K341" s="0" t="n">
        <v>1.4</v>
      </c>
      <c r="L341" s="0" t="n">
        <v>0.348</v>
      </c>
      <c r="M341" s="0" t="n">
        <v>0.07</v>
      </c>
      <c r="N341" s="0" t="n">
        <v>0.073</v>
      </c>
      <c r="O341" s="8" t="n">
        <f aca="false">ROUND(I341+L341,2)</f>
        <v>6.85</v>
      </c>
      <c r="P341" s="8" t="n">
        <f aca="false">ROUND(J341+M341,2)</f>
        <v>1.87</v>
      </c>
      <c r="Q341" s="8" t="n">
        <f aca="false">ROUND(K341+N341,2)</f>
        <v>1.47</v>
      </c>
    </row>
    <row r="342" customFormat="false" ht="15" hidden="false" customHeight="false" outlineLevel="0" collapsed="false">
      <c r="A342" s="0" t="s">
        <v>575</v>
      </c>
      <c r="B342" s="0" t="s">
        <v>165</v>
      </c>
      <c r="C342" s="0" t="s">
        <v>150</v>
      </c>
      <c r="D342" s="0" t="s">
        <v>239</v>
      </c>
      <c r="E342" s="3" t="s">
        <v>211</v>
      </c>
      <c r="G342" s="8" t="s">
        <v>235</v>
      </c>
      <c r="H342" s="0" t="n">
        <v>16.3</v>
      </c>
      <c r="I342" s="0" t="n">
        <v>6.5</v>
      </c>
      <c r="J342" s="0" t="n">
        <v>3.3</v>
      </c>
      <c r="K342" s="0" t="n">
        <v>2.5</v>
      </c>
      <c r="L342" s="0" t="n">
        <v>0</v>
      </c>
      <c r="M342" s="0" t="n">
        <v>0</v>
      </c>
      <c r="N342" s="0" t="n">
        <v>0</v>
      </c>
      <c r="O342" s="8" t="n">
        <f aca="false">ROUND(I342+L342,2)</f>
        <v>6.5</v>
      </c>
      <c r="P342" s="8" t="n">
        <f aca="false">ROUND(J342+M342,2)</f>
        <v>3.3</v>
      </c>
      <c r="Q342" s="8" t="n">
        <f aca="false">ROUND(K342+N342,2)</f>
        <v>2.5</v>
      </c>
    </row>
    <row r="343" customFormat="false" ht="15" hidden="false" customHeight="false" outlineLevel="0" collapsed="false">
      <c r="A343" s="0" t="s">
        <v>576</v>
      </c>
      <c r="B343" s="0" t="s">
        <v>158</v>
      </c>
      <c r="C343" s="0" t="s">
        <v>158</v>
      </c>
      <c r="D343" s="0" t="s">
        <v>243</v>
      </c>
      <c r="E343" s="3" t="s">
        <v>211</v>
      </c>
      <c r="F343" s="8" t="s">
        <v>210</v>
      </c>
      <c r="G343" s="8" t="s">
        <v>235</v>
      </c>
      <c r="H343" s="0" t="n">
        <v>15.3</v>
      </c>
      <c r="I343" s="0" t="n">
        <v>6.5</v>
      </c>
      <c r="J343" s="0" t="n">
        <v>3.3</v>
      </c>
      <c r="K343" s="0" t="n">
        <v>1.4</v>
      </c>
      <c r="L343" s="0" t="n">
        <v>0.39</v>
      </c>
      <c r="M343" s="0" t="n">
        <v>0.198</v>
      </c>
      <c r="N343" s="0" t="n">
        <v>0.084</v>
      </c>
      <c r="O343" s="8" t="n">
        <f aca="false">ROUND(I343+L343,2)</f>
        <v>6.89</v>
      </c>
      <c r="P343" s="8" t="n">
        <f aca="false">ROUND(J343+M343,2)</f>
        <v>3.5</v>
      </c>
      <c r="Q343" s="8" t="n">
        <f aca="false">ROUND(K343+N343,2)</f>
        <v>1.48</v>
      </c>
    </row>
    <row r="344" customFormat="false" ht="15" hidden="false" customHeight="false" outlineLevel="0" collapsed="false">
      <c r="A344" s="0" t="s">
        <v>577</v>
      </c>
      <c r="B344" s="0" t="s">
        <v>161</v>
      </c>
      <c r="C344" s="0" t="s">
        <v>161</v>
      </c>
      <c r="D344" s="0" t="s">
        <v>243</v>
      </c>
      <c r="E344" s="3" t="s">
        <v>208</v>
      </c>
      <c r="G344" s="8" t="s">
        <v>235</v>
      </c>
      <c r="H344" s="0" t="n">
        <v>16.4</v>
      </c>
      <c r="I344" s="0" t="n">
        <v>6.4</v>
      </c>
      <c r="J344" s="0" t="n">
        <v>1.7</v>
      </c>
      <c r="K344" s="0" t="n">
        <v>1.6</v>
      </c>
      <c r="L344" s="0" t="n">
        <v>0.019</v>
      </c>
      <c r="M344" s="0" t="n">
        <v>-0.011</v>
      </c>
      <c r="N344" s="0" t="n">
        <v>0.032</v>
      </c>
      <c r="O344" s="8" t="n">
        <f aca="false">ROUND(I344+L344,2)</f>
        <v>6.42</v>
      </c>
      <c r="P344" s="8" t="n">
        <f aca="false">ROUND(J344+M344,2)</f>
        <v>1.69</v>
      </c>
      <c r="Q344" s="8" t="n">
        <f aca="false">ROUND(K344+N344,2)</f>
        <v>1.63</v>
      </c>
    </row>
    <row r="345" customFormat="false" ht="15" hidden="false" customHeight="false" outlineLevel="0" collapsed="false">
      <c r="A345" s="0" t="s">
        <v>156</v>
      </c>
      <c r="B345" s="0" t="s">
        <v>165</v>
      </c>
      <c r="C345" s="0" t="s">
        <v>154</v>
      </c>
      <c r="D345" s="0" t="s">
        <v>239</v>
      </c>
      <c r="E345" s="3" t="s">
        <v>212</v>
      </c>
      <c r="G345" s="8" t="s">
        <v>235</v>
      </c>
      <c r="H345" s="0" t="n">
        <v>19.5</v>
      </c>
      <c r="I345" s="0" t="n">
        <v>6.4</v>
      </c>
      <c r="J345" s="0" t="n">
        <v>8.4</v>
      </c>
      <c r="K345" s="0" t="n">
        <v>1.3</v>
      </c>
      <c r="L345" s="0" t="n">
        <v>0</v>
      </c>
      <c r="M345" s="0" t="n">
        <v>0</v>
      </c>
      <c r="N345" s="0" t="n">
        <v>0</v>
      </c>
      <c r="O345" s="8" t="n">
        <f aca="false">ROUND(I345+L345,2)</f>
        <v>6.4</v>
      </c>
      <c r="P345" s="8" t="n">
        <f aca="false">ROUND(J345+M345,2)</f>
        <v>8.4</v>
      </c>
      <c r="Q345" s="8" t="n">
        <f aca="false">ROUND(K345+N345,2)</f>
        <v>1.3</v>
      </c>
    </row>
    <row r="346" customFormat="false" ht="15" hidden="false" customHeight="false" outlineLevel="0" collapsed="false">
      <c r="A346" s="0" t="s">
        <v>578</v>
      </c>
      <c r="B346" s="0" t="s">
        <v>114</v>
      </c>
      <c r="C346" s="0" t="s">
        <v>114</v>
      </c>
      <c r="D346" s="0" t="s">
        <v>234</v>
      </c>
      <c r="E346" s="3" t="s">
        <v>209</v>
      </c>
      <c r="G346" s="8" t="s">
        <v>235</v>
      </c>
      <c r="H346" s="0" t="n">
        <v>20</v>
      </c>
      <c r="I346" s="0" t="n">
        <v>6.4</v>
      </c>
      <c r="J346" s="0" t="n">
        <v>2.5</v>
      </c>
      <c r="K346" s="0" t="n">
        <v>1.3</v>
      </c>
      <c r="L346" s="0" t="n">
        <v>0.303</v>
      </c>
      <c r="M346" s="0" t="n">
        <v>0.15</v>
      </c>
      <c r="N346" s="0" t="n">
        <v>0.045</v>
      </c>
      <c r="O346" s="8" t="n">
        <f aca="false">ROUND(I346+L346,2)</f>
        <v>6.7</v>
      </c>
      <c r="P346" s="8" t="n">
        <f aca="false">ROUND(J346+M346,2)</f>
        <v>2.65</v>
      </c>
      <c r="Q346" s="8" t="n">
        <f aca="false">ROUND(K346+N346,2)</f>
        <v>1.35</v>
      </c>
    </row>
    <row r="347" customFormat="false" ht="15" hidden="false" customHeight="false" outlineLevel="0" collapsed="false">
      <c r="A347" s="0" t="s">
        <v>579</v>
      </c>
      <c r="B347" s="0" t="s">
        <v>87</v>
      </c>
      <c r="C347" s="0" t="s">
        <v>87</v>
      </c>
      <c r="D347" s="0" t="s">
        <v>234</v>
      </c>
      <c r="E347" s="3" t="s">
        <v>210</v>
      </c>
      <c r="F347" s="8" t="s">
        <v>211</v>
      </c>
      <c r="G347" s="8" t="s">
        <v>235</v>
      </c>
      <c r="H347" s="0" t="n">
        <v>15.9</v>
      </c>
      <c r="I347" s="0" t="n">
        <v>6.4</v>
      </c>
      <c r="J347" s="0" t="n">
        <v>2.1</v>
      </c>
      <c r="K347" s="0" t="n">
        <v>0.9</v>
      </c>
      <c r="L347" s="0" t="n">
        <v>0.384</v>
      </c>
      <c r="M347" s="0" t="n">
        <v>0.103</v>
      </c>
      <c r="N347" s="0" t="n">
        <v>0.054</v>
      </c>
      <c r="O347" s="8" t="n">
        <f aca="false">ROUND(I347+L347,2)</f>
        <v>6.78</v>
      </c>
      <c r="P347" s="8" t="n">
        <f aca="false">ROUND(J347+M347,2)</f>
        <v>2.2</v>
      </c>
      <c r="Q347" s="8" t="n">
        <f aca="false">ROUND(K347+N347,2)</f>
        <v>0.95</v>
      </c>
    </row>
    <row r="348" customFormat="false" ht="15" hidden="false" customHeight="false" outlineLevel="0" collapsed="false">
      <c r="A348" s="0" t="s">
        <v>580</v>
      </c>
      <c r="B348" s="0" t="s">
        <v>94</v>
      </c>
      <c r="C348" s="0" t="s">
        <v>91</v>
      </c>
      <c r="D348" s="0" t="s">
        <v>239</v>
      </c>
      <c r="E348" s="3" t="s">
        <v>208</v>
      </c>
      <c r="G348" s="8" t="s">
        <v>235</v>
      </c>
      <c r="H348" s="0" t="n">
        <v>14.9</v>
      </c>
      <c r="I348" s="0" t="n">
        <v>6.3</v>
      </c>
      <c r="J348" s="0" t="n">
        <v>2</v>
      </c>
      <c r="K348" s="0" t="n">
        <v>2.2</v>
      </c>
      <c r="L348" s="0" t="n">
        <v>0</v>
      </c>
      <c r="M348" s="0" t="n">
        <v>0</v>
      </c>
      <c r="N348" s="0" t="n">
        <v>0</v>
      </c>
      <c r="O348" s="8" t="n">
        <f aca="false">ROUND(I348+L348,2)</f>
        <v>6.3</v>
      </c>
      <c r="P348" s="8" t="n">
        <f aca="false">ROUND(J348+M348,2)</f>
        <v>2</v>
      </c>
      <c r="Q348" s="8" t="n">
        <f aca="false">ROUND(K348+N348,2)</f>
        <v>2.2</v>
      </c>
    </row>
    <row r="349" customFormat="false" ht="15" hidden="false" customHeight="false" outlineLevel="0" collapsed="false">
      <c r="A349" s="0" t="s">
        <v>581</v>
      </c>
      <c r="B349" s="0" t="s">
        <v>165</v>
      </c>
      <c r="C349" s="0" t="s">
        <v>165</v>
      </c>
      <c r="D349" s="0" t="s">
        <v>234</v>
      </c>
      <c r="E349" s="3" t="s">
        <v>210</v>
      </c>
      <c r="G349" s="8" t="s">
        <v>235</v>
      </c>
      <c r="H349" s="0" t="n">
        <v>16.9</v>
      </c>
      <c r="I349" s="0" t="n">
        <v>6.3</v>
      </c>
      <c r="J349" s="0" t="n">
        <v>2.5</v>
      </c>
      <c r="K349" s="0" t="n">
        <v>1.7</v>
      </c>
      <c r="L349" s="0" t="n">
        <v>0</v>
      </c>
      <c r="M349" s="0" t="n">
        <v>0</v>
      </c>
      <c r="N349" s="0" t="n">
        <v>0</v>
      </c>
      <c r="O349" s="8" t="n">
        <f aca="false">ROUND(I349+L349,2)</f>
        <v>6.3</v>
      </c>
      <c r="P349" s="8" t="n">
        <f aca="false">ROUND(J349+M349,2)</f>
        <v>2.5</v>
      </c>
      <c r="Q349" s="8" t="n">
        <f aca="false">ROUND(K349+N349,2)</f>
        <v>1.7</v>
      </c>
    </row>
    <row r="350" customFormat="false" ht="15" hidden="false" customHeight="false" outlineLevel="0" collapsed="false">
      <c r="A350" s="0" t="s">
        <v>582</v>
      </c>
      <c r="B350" s="0" t="s">
        <v>146</v>
      </c>
      <c r="C350" s="0" t="s">
        <v>184</v>
      </c>
      <c r="D350" s="0" t="s">
        <v>239</v>
      </c>
      <c r="E350" s="3" t="s">
        <v>211</v>
      </c>
      <c r="F350" s="8" t="s">
        <v>210</v>
      </c>
      <c r="G350" s="8" t="s">
        <v>235</v>
      </c>
      <c r="H350" s="0" t="n">
        <v>19.8</v>
      </c>
      <c r="I350" s="0" t="n">
        <v>6.2</v>
      </c>
      <c r="J350" s="0" t="n">
        <v>3.5</v>
      </c>
      <c r="K350" s="0" t="n">
        <v>2.9</v>
      </c>
      <c r="L350" s="0" t="n">
        <v>0</v>
      </c>
      <c r="M350" s="0" t="n">
        <v>0</v>
      </c>
      <c r="N350" s="0" t="n">
        <v>0</v>
      </c>
      <c r="O350" s="8" t="n">
        <f aca="false">ROUND(I350+L350,2)</f>
        <v>6.2</v>
      </c>
      <c r="P350" s="8" t="n">
        <f aca="false">ROUND(J350+M350,2)</f>
        <v>3.5</v>
      </c>
      <c r="Q350" s="8" t="n">
        <f aca="false">ROUND(K350+N350,2)</f>
        <v>2.9</v>
      </c>
    </row>
    <row r="351" customFormat="false" ht="15" hidden="false" customHeight="false" outlineLevel="0" collapsed="false">
      <c r="A351" s="0" t="s">
        <v>583</v>
      </c>
      <c r="B351" s="0" t="s">
        <v>98</v>
      </c>
      <c r="C351" s="0" t="s">
        <v>98</v>
      </c>
      <c r="D351" s="0" t="s">
        <v>243</v>
      </c>
      <c r="E351" s="3" t="s">
        <v>212</v>
      </c>
      <c r="G351" s="8" t="s">
        <v>396</v>
      </c>
      <c r="H351" s="0" t="n">
        <v>12.2</v>
      </c>
      <c r="I351" s="0" t="n">
        <v>6.2</v>
      </c>
      <c r="J351" s="0" t="n">
        <v>3.4</v>
      </c>
      <c r="K351" s="0" t="n">
        <v>0.6</v>
      </c>
      <c r="L351" s="0" t="n">
        <v>0.372</v>
      </c>
      <c r="M351" s="0" t="n">
        <v>0.204</v>
      </c>
      <c r="N351" s="0" t="n">
        <v>0.036</v>
      </c>
      <c r="O351" s="8" t="n">
        <f aca="false">ROUND(I351+L351,2)</f>
        <v>6.57</v>
      </c>
      <c r="P351" s="8" t="n">
        <f aca="false">ROUND(J351+M351,2)</f>
        <v>3.6</v>
      </c>
      <c r="Q351" s="8" t="n">
        <f aca="false">ROUND(K351+N351,2)</f>
        <v>0.64</v>
      </c>
    </row>
    <row r="352" customFormat="false" ht="15" hidden="false" customHeight="false" outlineLevel="0" collapsed="false">
      <c r="A352" s="0" t="s">
        <v>584</v>
      </c>
      <c r="B352" s="0" t="s">
        <v>158</v>
      </c>
      <c r="C352" s="0" t="s">
        <v>158</v>
      </c>
      <c r="D352" s="0" t="s">
        <v>234</v>
      </c>
      <c r="E352" s="3" t="s">
        <v>209</v>
      </c>
      <c r="G352" s="8" t="s">
        <v>235</v>
      </c>
      <c r="H352" s="0" t="n">
        <v>18.2</v>
      </c>
      <c r="I352" s="0" t="n">
        <v>6.2</v>
      </c>
      <c r="J352" s="0" t="n">
        <v>2.8</v>
      </c>
      <c r="K352" s="0" t="n">
        <v>2</v>
      </c>
      <c r="L352" s="0" t="n">
        <v>0.372</v>
      </c>
      <c r="M352" s="0" t="n">
        <v>0.168</v>
      </c>
      <c r="N352" s="0" t="n">
        <v>0.12</v>
      </c>
      <c r="O352" s="8" t="n">
        <f aca="false">ROUND(I352+L352,2)</f>
        <v>6.57</v>
      </c>
      <c r="P352" s="8" t="n">
        <f aca="false">ROUND(J352+M352,2)</f>
        <v>2.97</v>
      </c>
      <c r="Q352" s="8" t="n">
        <f aca="false">ROUND(K352+N352,2)</f>
        <v>2.12</v>
      </c>
    </row>
    <row r="353" customFormat="false" ht="15" hidden="false" customHeight="false" outlineLevel="0" collapsed="false">
      <c r="A353" s="0" t="s">
        <v>585</v>
      </c>
      <c r="B353" s="0" t="s">
        <v>138</v>
      </c>
      <c r="C353" s="0" t="s">
        <v>142</v>
      </c>
      <c r="D353" s="0" t="s">
        <v>239</v>
      </c>
      <c r="E353" s="3" t="s">
        <v>208</v>
      </c>
      <c r="F353" s="8" t="s">
        <v>209</v>
      </c>
      <c r="G353" s="8" t="s">
        <v>235</v>
      </c>
      <c r="H353" s="0" t="n">
        <v>17.8</v>
      </c>
      <c r="I353" s="0" t="n">
        <v>6.2</v>
      </c>
      <c r="J353" s="0" t="n">
        <v>2.6</v>
      </c>
      <c r="K353" s="0" t="n">
        <v>2.6</v>
      </c>
      <c r="L353" s="0" t="n">
        <v>0</v>
      </c>
      <c r="M353" s="0" t="n">
        <v>0</v>
      </c>
      <c r="N353" s="0" t="n">
        <v>0</v>
      </c>
      <c r="O353" s="8" t="n">
        <f aca="false">ROUND(I353+L353,2)</f>
        <v>6.2</v>
      </c>
      <c r="P353" s="8" t="n">
        <f aca="false">ROUND(J353+M353,2)</f>
        <v>2.6</v>
      </c>
      <c r="Q353" s="8" t="n">
        <f aca="false">ROUND(K353+N353,2)</f>
        <v>2.6</v>
      </c>
    </row>
    <row r="354" customFormat="false" ht="15" hidden="false" customHeight="false" outlineLevel="0" collapsed="false">
      <c r="A354" s="0" t="s">
        <v>586</v>
      </c>
      <c r="B354" s="0" t="s">
        <v>134</v>
      </c>
      <c r="C354" s="0" t="s">
        <v>134</v>
      </c>
      <c r="D354" s="0" t="s">
        <v>234</v>
      </c>
      <c r="E354" s="3" t="s">
        <v>209</v>
      </c>
      <c r="G354" s="8" t="s">
        <v>396</v>
      </c>
      <c r="H354" s="0" t="n">
        <v>21.7</v>
      </c>
      <c r="I354" s="0" t="n">
        <v>6.2</v>
      </c>
      <c r="J354" s="0" t="n">
        <v>2.6</v>
      </c>
      <c r="K354" s="0" t="n">
        <v>2.2</v>
      </c>
      <c r="L354" s="0" t="n">
        <v>0.372</v>
      </c>
      <c r="M354" s="0" t="n">
        <v>0.156</v>
      </c>
      <c r="N354" s="0" t="n">
        <v>0.132</v>
      </c>
      <c r="O354" s="8" t="n">
        <f aca="false">ROUND(I354+L354,2)</f>
        <v>6.57</v>
      </c>
      <c r="P354" s="8" t="n">
        <f aca="false">ROUND(J354+M354,2)</f>
        <v>2.76</v>
      </c>
      <c r="Q354" s="8" t="n">
        <f aca="false">ROUND(K354+N354,2)</f>
        <v>2.33</v>
      </c>
    </row>
    <row r="355" customFormat="false" ht="15" hidden="false" customHeight="false" outlineLevel="0" collapsed="false">
      <c r="A355" s="0" t="s">
        <v>587</v>
      </c>
      <c r="B355" s="0" t="s">
        <v>130</v>
      </c>
      <c r="C355" s="0" t="s">
        <v>130</v>
      </c>
      <c r="D355" s="0" t="s">
        <v>234</v>
      </c>
      <c r="E355" s="3" t="s">
        <v>210</v>
      </c>
      <c r="G355" s="8" t="s">
        <v>396</v>
      </c>
      <c r="H355" s="0" t="n">
        <v>12.5</v>
      </c>
      <c r="I355" s="0" t="n">
        <v>6.2</v>
      </c>
      <c r="J355" s="0" t="n">
        <v>0.8</v>
      </c>
      <c r="K355" s="0" t="n">
        <v>1</v>
      </c>
      <c r="L355" s="0" t="n">
        <v>0.372</v>
      </c>
      <c r="M355" s="0" t="n">
        <v>0.048</v>
      </c>
      <c r="N355" s="0" t="n">
        <v>0.06</v>
      </c>
      <c r="O355" s="8" t="n">
        <f aca="false">ROUND(I355+L355,2)</f>
        <v>6.57</v>
      </c>
      <c r="P355" s="8" t="n">
        <f aca="false">ROUND(J355+M355,2)</f>
        <v>0.85</v>
      </c>
      <c r="Q355" s="8" t="n">
        <f aca="false">ROUND(K355+N355,2)</f>
        <v>1.06</v>
      </c>
    </row>
    <row r="356" customFormat="false" ht="15" hidden="false" customHeight="false" outlineLevel="0" collapsed="false">
      <c r="A356" s="0" t="s">
        <v>588</v>
      </c>
      <c r="B356" s="0" t="s">
        <v>94</v>
      </c>
      <c r="C356" s="0" t="s">
        <v>94</v>
      </c>
      <c r="D356" s="0" t="s">
        <v>234</v>
      </c>
      <c r="E356" s="3" t="s">
        <v>210</v>
      </c>
      <c r="G356" s="8" t="s">
        <v>396</v>
      </c>
      <c r="H356" s="0" t="n">
        <v>12.3</v>
      </c>
      <c r="I356" s="0" t="n">
        <v>6.1</v>
      </c>
      <c r="J356" s="0" t="n">
        <v>0.9</v>
      </c>
      <c r="K356" s="0" t="n">
        <v>0.9</v>
      </c>
      <c r="L356" s="0" t="n">
        <v>0.366</v>
      </c>
      <c r="M356" s="0" t="n">
        <v>0.054</v>
      </c>
      <c r="N356" s="0" t="n">
        <v>0.054</v>
      </c>
      <c r="O356" s="8" t="n">
        <f aca="false">ROUND(I356+L356,2)</f>
        <v>6.47</v>
      </c>
      <c r="P356" s="8" t="n">
        <f aca="false">ROUND(J356+M356,2)</f>
        <v>0.95</v>
      </c>
      <c r="Q356" s="8" t="n">
        <f aca="false">ROUND(K356+N356,2)</f>
        <v>0.95</v>
      </c>
    </row>
    <row r="357" customFormat="false" ht="15" hidden="false" customHeight="false" outlineLevel="0" collapsed="false">
      <c r="A357" s="0" t="s">
        <v>589</v>
      </c>
      <c r="B357" s="0" t="s">
        <v>184</v>
      </c>
      <c r="C357" s="0" t="s">
        <v>126</v>
      </c>
      <c r="D357" s="0" t="s">
        <v>239</v>
      </c>
      <c r="E357" s="3" t="s">
        <v>210</v>
      </c>
      <c r="G357" s="8" t="s">
        <v>396</v>
      </c>
      <c r="H357" s="0" t="n">
        <v>14</v>
      </c>
      <c r="I357" s="0" t="n">
        <v>6</v>
      </c>
      <c r="J357" s="0" t="n">
        <v>1.9</v>
      </c>
      <c r="K357" s="0" t="n">
        <v>0.7</v>
      </c>
      <c r="L357" s="0" t="n">
        <v>0</v>
      </c>
      <c r="M357" s="0" t="n">
        <v>0</v>
      </c>
      <c r="N357" s="0" t="n">
        <v>0</v>
      </c>
      <c r="O357" s="8" t="n">
        <f aca="false">ROUND(I357+L357,2)</f>
        <v>6</v>
      </c>
      <c r="P357" s="8" t="n">
        <f aca="false">ROUND(J357+M357,2)</f>
        <v>1.9</v>
      </c>
      <c r="Q357" s="8" t="n">
        <f aca="false">ROUND(K357+N357,2)</f>
        <v>0.7</v>
      </c>
    </row>
    <row r="358" customFormat="false" ht="15" hidden="false" customHeight="false" outlineLevel="0" collapsed="false">
      <c r="A358" s="0" t="s">
        <v>590</v>
      </c>
      <c r="B358" s="0" t="s">
        <v>165</v>
      </c>
      <c r="C358" s="0" t="s">
        <v>165</v>
      </c>
      <c r="D358" s="0" t="s">
        <v>234</v>
      </c>
      <c r="E358" s="3" t="s">
        <v>210</v>
      </c>
      <c r="G358" s="8" t="s">
        <v>235</v>
      </c>
      <c r="H358" s="0" t="n">
        <v>15.3</v>
      </c>
      <c r="I358" s="0" t="n">
        <v>6</v>
      </c>
      <c r="J358" s="0" t="n">
        <v>1.5</v>
      </c>
      <c r="K358" s="0" t="n">
        <v>1.3</v>
      </c>
      <c r="L358" s="0" t="n">
        <v>0.36</v>
      </c>
      <c r="M358" s="0" t="n">
        <v>0.09</v>
      </c>
      <c r="N358" s="0" t="n">
        <v>0.078</v>
      </c>
      <c r="O358" s="8" t="n">
        <f aca="false">ROUND(I358+L358,2)</f>
        <v>6.36</v>
      </c>
      <c r="P358" s="8" t="n">
        <f aca="false">ROUND(J358+M358,2)</f>
        <v>1.59</v>
      </c>
      <c r="Q358" s="8" t="n">
        <f aca="false">ROUND(K358+N358,2)</f>
        <v>1.38</v>
      </c>
    </row>
    <row r="359" customFormat="false" ht="15" hidden="false" customHeight="false" outlineLevel="0" collapsed="false">
      <c r="A359" s="0" t="s">
        <v>591</v>
      </c>
      <c r="B359" s="0" t="s">
        <v>188</v>
      </c>
      <c r="C359" s="0" t="s">
        <v>188</v>
      </c>
      <c r="D359" s="0" t="s">
        <v>234</v>
      </c>
      <c r="E359" s="3" t="s">
        <v>210</v>
      </c>
      <c r="G359" s="8" t="s">
        <v>396</v>
      </c>
      <c r="H359" s="0" t="n">
        <v>25</v>
      </c>
      <c r="I359" s="0" t="n">
        <v>6</v>
      </c>
      <c r="J359" s="0" t="n">
        <v>0</v>
      </c>
      <c r="K359" s="0" t="n">
        <v>1</v>
      </c>
      <c r="L359" s="0" t="n">
        <v>0.36</v>
      </c>
      <c r="M359" s="0" t="n">
        <v>0</v>
      </c>
      <c r="N359" s="0" t="n">
        <v>0.06</v>
      </c>
      <c r="O359" s="8" t="n">
        <f aca="false">ROUND(I359+L359,2)</f>
        <v>6.36</v>
      </c>
      <c r="P359" s="8" t="n">
        <f aca="false">ROUND(J359+M359,2)</f>
        <v>0</v>
      </c>
      <c r="Q359" s="8" t="n">
        <f aca="false">ROUND(K359+N359,2)</f>
        <v>1.06</v>
      </c>
    </row>
    <row r="360" customFormat="false" ht="15" hidden="false" customHeight="false" outlineLevel="0" collapsed="false">
      <c r="A360" s="0" t="s">
        <v>592</v>
      </c>
      <c r="B360" s="0" t="s">
        <v>91</v>
      </c>
      <c r="C360" s="0" t="s">
        <v>91</v>
      </c>
      <c r="D360" s="0" t="s">
        <v>234</v>
      </c>
      <c r="E360" s="3" t="s">
        <v>211</v>
      </c>
      <c r="F360" s="8" t="s">
        <v>210</v>
      </c>
      <c r="G360" s="8" t="s">
        <v>235</v>
      </c>
      <c r="H360" s="0" t="n">
        <v>15.5</v>
      </c>
      <c r="I360" s="0" t="n">
        <v>6</v>
      </c>
      <c r="J360" s="0" t="n">
        <v>4</v>
      </c>
      <c r="K360" s="0" t="n">
        <v>0.7</v>
      </c>
      <c r="L360" s="0" t="n">
        <v>0.36</v>
      </c>
      <c r="M360" s="0" t="n">
        <v>0.197</v>
      </c>
      <c r="N360" s="0" t="n">
        <v>0.042</v>
      </c>
      <c r="O360" s="8" t="n">
        <f aca="false">ROUND(I360+L360,2)</f>
        <v>6.36</v>
      </c>
      <c r="P360" s="8" t="n">
        <f aca="false">ROUND(J360+M360,2)</f>
        <v>4.2</v>
      </c>
      <c r="Q360" s="8" t="n">
        <f aca="false">ROUND(K360+N360,2)</f>
        <v>0.74</v>
      </c>
    </row>
    <row r="361" customFormat="false" ht="15" hidden="false" customHeight="false" outlineLevel="0" collapsed="false">
      <c r="A361" s="0" t="s">
        <v>593</v>
      </c>
      <c r="B361" s="0" t="s">
        <v>161</v>
      </c>
      <c r="C361" s="0" t="s">
        <v>161</v>
      </c>
      <c r="D361" s="0" t="s">
        <v>234</v>
      </c>
      <c r="E361" s="3" t="s">
        <v>212</v>
      </c>
      <c r="G361" s="8" t="s">
        <v>235</v>
      </c>
      <c r="H361" s="0" t="n">
        <v>15.2</v>
      </c>
      <c r="I361" s="0" t="n">
        <v>5.9</v>
      </c>
      <c r="J361" s="0" t="n">
        <v>5</v>
      </c>
      <c r="K361" s="0" t="n">
        <v>1.3</v>
      </c>
      <c r="L361" s="0" t="n">
        <v>0.019</v>
      </c>
      <c r="M361" s="0" t="n">
        <v>-0.034</v>
      </c>
      <c r="N361" s="0" t="n">
        <v>0.028</v>
      </c>
      <c r="O361" s="8" t="n">
        <f aca="false">ROUND(I361+L361,2)</f>
        <v>5.92</v>
      </c>
      <c r="P361" s="8" t="n">
        <f aca="false">ROUND(J361+M361,2)</f>
        <v>4.97</v>
      </c>
      <c r="Q361" s="8" t="n">
        <f aca="false">ROUND(K361+N361,2)</f>
        <v>1.33</v>
      </c>
    </row>
    <row r="362" customFormat="false" ht="15" hidden="false" customHeight="false" outlineLevel="0" collapsed="false">
      <c r="A362" s="0" t="s">
        <v>594</v>
      </c>
      <c r="B362" s="0" t="s">
        <v>114</v>
      </c>
      <c r="C362" s="0" t="s">
        <v>114</v>
      </c>
      <c r="D362" s="0" t="s">
        <v>243</v>
      </c>
      <c r="E362" s="3" t="s">
        <v>212</v>
      </c>
      <c r="G362" s="8" t="s">
        <v>235</v>
      </c>
      <c r="H362" s="0" t="n">
        <v>11.8</v>
      </c>
      <c r="I362" s="0" t="n">
        <v>5.8</v>
      </c>
      <c r="J362" s="0" t="n">
        <v>4.4</v>
      </c>
      <c r="K362" s="0" t="n">
        <v>0.5</v>
      </c>
      <c r="L362" s="0" t="n">
        <v>0.348</v>
      </c>
      <c r="M362" s="0" t="n">
        <v>0.264</v>
      </c>
      <c r="N362" s="0" t="n">
        <v>0.025</v>
      </c>
      <c r="O362" s="8" t="n">
        <f aca="false">ROUND(I362+L362,2)</f>
        <v>6.15</v>
      </c>
      <c r="P362" s="8" t="n">
        <f aca="false">ROUND(J362+M362,2)</f>
        <v>4.66</v>
      </c>
      <c r="Q362" s="8" t="n">
        <f aca="false">ROUND(K362+N362,2)</f>
        <v>0.53</v>
      </c>
    </row>
    <row r="363" customFormat="false" ht="15" hidden="false" customHeight="false" outlineLevel="0" collapsed="false">
      <c r="A363" s="0" t="s">
        <v>595</v>
      </c>
      <c r="B363" s="0" t="s">
        <v>122</v>
      </c>
      <c r="C363" s="0" t="s">
        <v>122</v>
      </c>
      <c r="D363" s="0" t="s">
        <v>234</v>
      </c>
      <c r="E363" s="3" t="s">
        <v>211</v>
      </c>
      <c r="F363" s="8" t="s">
        <v>210</v>
      </c>
      <c r="G363" s="8" t="s">
        <v>235</v>
      </c>
      <c r="H363" s="0" t="n">
        <v>15.8</v>
      </c>
      <c r="I363" s="0" t="n">
        <v>5.8</v>
      </c>
      <c r="J363" s="0" t="n">
        <v>3</v>
      </c>
      <c r="K363" s="0" t="n">
        <v>1.3</v>
      </c>
      <c r="L363" s="0" t="n">
        <v>0.348</v>
      </c>
      <c r="M363" s="0" t="n">
        <v>0.18</v>
      </c>
      <c r="N363" s="0" t="n">
        <v>0.078</v>
      </c>
      <c r="O363" s="8" t="n">
        <f aca="false">ROUND(I363+L363,2)</f>
        <v>6.15</v>
      </c>
      <c r="P363" s="8" t="n">
        <f aca="false">ROUND(J363+M363,2)</f>
        <v>3.18</v>
      </c>
      <c r="Q363" s="8" t="n">
        <f aca="false">ROUND(K363+N363,2)</f>
        <v>1.38</v>
      </c>
    </row>
    <row r="364" customFormat="false" ht="15" hidden="false" customHeight="false" outlineLevel="0" collapsed="false">
      <c r="A364" s="0" t="s">
        <v>596</v>
      </c>
      <c r="B364" s="0" t="s">
        <v>94</v>
      </c>
      <c r="C364" s="0" t="s">
        <v>138</v>
      </c>
      <c r="D364" s="0" t="s">
        <v>239</v>
      </c>
      <c r="E364" s="3" t="s">
        <v>212</v>
      </c>
      <c r="G364" s="8" t="s">
        <v>235</v>
      </c>
      <c r="H364" s="0" t="n">
        <v>14.6</v>
      </c>
      <c r="I364" s="0" t="n">
        <v>5.8</v>
      </c>
      <c r="J364" s="0" t="n">
        <v>5.1</v>
      </c>
      <c r="K364" s="0" t="n">
        <v>0.3</v>
      </c>
      <c r="L364" s="0" t="n">
        <v>0</v>
      </c>
      <c r="M364" s="0" t="n">
        <v>0</v>
      </c>
      <c r="N364" s="0" t="n">
        <v>0</v>
      </c>
      <c r="O364" s="8" t="n">
        <f aca="false">ROUND(I364+L364,2)</f>
        <v>5.8</v>
      </c>
      <c r="P364" s="8" t="n">
        <f aca="false">ROUND(J364+M364,2)</f>
        <v>5.1</v>
      </c>
      <c r="Q364" s="8" t="n">
        <f aca="false">ROUND(K364+N364,2)</f>
        <v>0.3</v>
      </c>
    </row>
    <row r="365" customFormat="false" ht="15" hidden="false" customHeight="false" outlineLevel="0" collapsed="false">
      <c r="A365" s="0" t="s">
        <v>597</v>
      </c>
      <c r="B365" s="0" t="s">
        <v>118</v>
      </c>
      <c r="C365" s="0" t="s">
        <v>118</v>
      </c>
      <c r="D365" s="0" t="s">
        <v>234</v>
      </c>
      <c r="E365" s="3" t="s">
        <v>212</v>
      </c>
      <c r="G365" s="8" t="s">
        <v>235</v>
      </c>
      <c r="H365" s="0" t="n">
        <v>22.8</v>
      </c>
      <c r="I365" s="0" t="n">
        <v>5.8</v>
      </c>
      <c r="J365" s="0" t="n">
        <v>8.6</v>
      </c>
      <c r="K365" s="0" t="n">
        <v>1.5</v>
      </c>
      <c r="L365" s="0" t="n">
        <v>-0.048</v>
      </c>
      <c r="M365" s="0" t="n">
        <v>0.127</v>
      </c>
      <c r="N365" s="0" t="n">
        <v>-0.042</v>
      </c>
      <c r="O365" s="8" t="n">
        <f aca="false">ROUND(I365+L365,2)</f>
        <v>5.75</v>
      </c>
      <c r="P365" s="8" t="n">
        <f aca="false">ROUND(J365+M365,2)</f>
        <v>8.73</v>
      </c>
      <c r="Q365" s="8" t="n">
        <f aca="false">ROUND(K365+N365,2)</f>
        <v>1.46</v>
      </c>
    </row>
    <row r="366" customFormat="false" ht="15" hidden="false" customHeight="false" outlineLevel="0" collapsed="false">
      <c r="A366" s="0" t="s">
        <v>598</v>
      </c>
      <c r="B366" s="0" t="s">
        <v>158</v>
      </c>
      <c r="C366" s="0" t="s">
        <v>173</v>
      </c>
      <c r="D366" s="0" t="s">
        <v>239</v>
      </c>
      <c r="E366" s="3" t="s">
        <v>212</v>
      </c>
      <c r="G366" s="8" t="s">
        <v>396</v>
      </c>
      <c r="H366" s="0" t="n">
        <v>11.6</v>
      </c>
      <c r="I366" s="0" t="n">
        <v>5.8</v>
      </c>
      <c r="J366" s="0" t="n">
        <v>3</v>
      </c>
      <c r="K366" s="0" t="n">
        <v>0.7</v>
      </c>
      <c r="L366" s="0" t="n">
        <v>0</v>
      </c>
      <c r="M366" s="0" t="n">
        <v>0</v>
      </c>
      <c r="N366" s="0" t="n">
        <v>0</v>
      </c>
      <c r="O366" s="8" t="n">
        <f aca="false">ROUND(I366+L366,2)</f>
        <v>5.8</v>
      </c>
      <c r="P366" s="8" t="n">
        <f aca="false">ROUND(J366+M366,2)</f>
        <v>3</v>
      </c>
      <c r="Q366" s="8" t="n">
        <f aca="false">ROUND(K366+N366,2)</f>
        <v>0.7</v>
      </c>
    </row>
    <row r="367" customFormat="false" ht="15" hidden="false" customHeight="false" outlineLevel="0" collapsed="false">
      <c r="A367" s="0" t="s">
        <v>599</v>
      </c>
      <c r="B367" s="0" t="s">
        <v>169</v>
      </c>
      <c r="C367" s="0" t="s">
        <v>169</v>
      </c>
      <c r="D367" s="0" t="s">
        <v>234</v>
      </c>
      <c r="E367" s="3" t="s">
        <v>210</v>
      </c>
      <c r="F367" s="8" t="s">
        <v>211</v>
      </c>
      <c r="G367" s="8" t="s">
        <v>235</v>
      </c>
      <c r="H367" s="0" t="n">
        <v>19.4</v>
      </c>
      <c r="I367" s="0" t="n">
        <v>5.8</v>
      </c>
      <c r="J367" s="0" t="n">
        <v>4.2</v>
      </c>
      <c r="K367" s="0" t="n">
        <v>1.5</v>
      </c>
      <c r="L367" s="0" t="n">
        <v>0.203</v>
      </c>
      <c r="M367" s="0" t="n">
        <v>0.097</v>
      </c>
      <c r="N367" s="0" t="n">
        <v>0.077</v>
      </c>
      <c r="O367" s="8" t="n">
        <f aca="false">ROUND(I367+L367,2)</f>
        <v>6</v>
      </c>
      <c r="P367" s="8" t="n">
        <f aca="false">ROUND(J367+M367,2)</f>
        <v>4.3</v>
      </c>
      <c r="Q367" s="8" t="n">
        <f aca="false">ROUND(K367+N367,2)</f>
        <v>1.58</v>
      </c>
    </row>
    <row r="368" customFormat="false" ht="15" hidden="false" customHeight="false" outlineLevel="0" collapsed="false">
      <c r="A368" s="0" t="s">
        <v>600</v>
      </c>
      <c r="B368" s="0" t="s">
        <v>192</v>
      </c>
      <c r="C368" s="0" t="s">
        <v>192</v>
      </c>
      <c r="D368" s="0" t="s">
        <v>243</v>
      </c>
      <c r="E368" s="3" t="s">
        <v>211</v>
      </c>
      <c r="G368" s="8" t="s">
        <v>235</v>
      </c>
      <c r="H368" s="0" t="n">
        <v>17.3</v>
      </c>
      <c r="I368" s="0" t="n">
        <v>5.8</v>
      </c>
      <c r="J368" s="0" t="n">
        <v>2.9</v>
      </c>
      <c r="K368" s="0" t="n">
        <v>1.3</v>
      </c>
      <c r="L368" s="0" t="n">
        <v>0.348</v>
      </c>
      <c r="M368" s="0" t="n">
        <v>0.174</v>
      </c>
      <c r="N368" s="0" t="n">
        <v>0.078</v>
      </c>
      <c r="O368" s="8" t="n">
        <f aca="false">ROUND(I368+L368,2)</f>
        <v>6.15</v>
      </c>
      <c r="P368" s="8" t="n">
        <f aca="false">ROUND(J368+M368,2)</f>
        <v>3.07</v>
      </c>
      <c r="Q368" s="8" t="n">
        <f aca="false">ROUND(K368+N368,2)</f>
        <v>1.38</v>
      </c>
    </row>
    <row r="369" customFormat="false" ht="15" hidden="false" customHeight="false" outlineLevel="0" collapsed="false">
      <c r="A369" s="0" t="s">
        <v>601</v>
      </c>
      <c r="B369" s="0" t="s">
        <v>173</v>
      </c>
      <c r="C369" s="0" t="s">
        <v>134</v>
      </c>
      <c r="D369" s="0" t="s">
        <v>239</v>
      </c>
      <c r="E369" s="3" t="s">
        <v>211</v>
      </c>
      <c r="F369" s="8" t="s">
        <v>210</v>
      </c>
      <c r="G369" s="8" t="s">
        <v>235</v>
      </c>
      <c r="H369" s="0" t="n">
        <v>23.4</v>
      </c>
      <c r="I369" s="0" t="n">
        <v>5.8</v>
      </c>
      <c r="J369" s="0" t="n">
        <v>3.6</v>
      </c>
      <c r="K369" s="0" t="n">
        <v>1.4</v>
      </c>
      <c r="L369" s="0" t="n">
        <v>0</v>
      </c>
      <c r="M369" s="0" t="n">
        <v>0</v>
      </c>
      <c r="N369" s="0" t="n">
        <v>0</v>
      </c>
      <c r="O369" s="8" t="n">
        <f aca="false">ROUND(I369+L369,2)</f>
        <v>5.8</v>
      </c>
      <c r="P369" s="8" t="n">
        <f aca="false">ROUND(J369+M369,2)</f>
        <v>3.6</v>
      </c>
      <c r="Q369" s="8" t="n">
        <f aca="false">ROUND(K369+N369,2)</f>
        <v>1.4</v>
      </c>
    </row>
    <row r="370" customFormat="false" ht="15" hidden="false" customHeight="false" outlineLevel="0" collapsed="false">
      <c r="A370" s="0" t="s">
        <v>602</v>
      </c>
      <c r="B370" s="0" t="s">
        <v>173</v>
      </c>
      <c r="C370" s="0" t="s">
        <v>130</v>
      </c>
      <c r="D370" s="0" t="s">
        <v>239</v>
      </c>
      <c r="E370" s="3" t="s">
        <v>210</v>
      </c>
      <c r="F370" s="8" t="s">
        <v>209</v>
      </c>
      <c r="G370" s="8" t="s">
        <v>235</v>
      </c>
      <c r="H370" s="0" t="n">
        <v>16</v>
      </c>
      <c r="I370" s="0" t="n">
        <v>5.8</v>
      </c>
      <c r="J370" s="0" t="n">
        <v>2</v>
      </c>
      <c r="K370" s="0" t="n">
        <v>0.9</v>
      </c>
      <c r="L370" s="0" t="n">
        <v>0</v>
      </c>
      <c r="M370" s="0" t="n">
        <v>0</v>
      </c>
      <c r="N370" s="0" t="n">
        <v>0</v>
      </c>
      <c r="O370" s="8" t="n">
        <f aca="false">ROUND(I370+L370,2)</f>
        <v>5.8</v>
      </c>
      <c r="P370" s="8" t="n">
        <f aca="false">ROUND(J370+M370,2)</f>
        <v>2</v>
      </c>
      <c r="Q370" s="8" t="n">
        <f aca="false">ROUND(K370+N370,2)</f>
        <v>0.9</v>
      </c>
    </row>
    <row r="371" customFormat="false" ht="15" hidden="false" customHeight="false" outlineLevel="0" collapsed="false">
      <c r="A371" s="0" t="s">
        <v>603</v>
      </c>
      <c r="B371" s="0" t="s">
        <v>98</v>
      </c>
      <c r="C371" s="0" t="s">
        <v>98</v>
      </c>
      <c r="D371" s="0" t="s">
        <v>234</v>
      </c>
      <c r="E371" s="3" t="s">
        <v>211</v>
      </c>
      <c r="G371" s="8" t="s">
        <v>235</v>
      </c>
      <c r="H371" s="0" t="n">
        <v>15.7</v>
      </c>
      <c r="I371" s="0" t="n">
        <v>5.8</v>
      </c>
      <c r="J371" s="0" t="n">
        <v>2.9</v>
      </c>
      <c r="K371" s="0" t="n">
        <v>0.8</v>
      </c>
      <c r="L371" s="0" t="n">
        <v>0.348</v>
      </c>
      <c r="M371" s="0" t="n">
        <v>0.174</v>
      </c>
      <c r="N371" s="0" t="n">
        <v>0.048</v>
      </c>
      <c r="O371" s="8" t="n">
        <f aca="false">ROUND(I371+L371,2)</f>
        <v>6.15</v>
      </c>
      <c r="P371" s="8" t="n">
        <f aca="false">ROUND(J371+M371,2)</f>
        <v>3.07</v>
      </c>
      <c r="Q371" s="8" t="n">
        <f aca="false">ROUND(K371+N371,2)</f>
        <v>0.85</v>
      </c>
    </row>
    <row r="372" customFormat="false" ht="15" hidden="false" customHeight="false" outlineLevel="0" collapsed="false">
      <c r="A372" s="0" t="s">
        <v>604</v>
      </c>
      <c r="B372" s="0" t="s">
        <v>98</v>
      </c>
      <c r="C372" s="0" t="s">
        <v>165</v>
      </c>
      <c r="D372" s="0" t="s">
        <v>239</v>
      </c>
      <c r="E372" s="3" t="s">
        <v>211</v>
      </c>
      <c r="G372" s="8" t="s">
        <v>235</v>
      </c>
      <c r="H372" s="0" t="n">
        <v>22.3</v>
      </c>
      <c r="I372" s="0" t="n">
        <v>5.8</v>
      </c>
      <c r="J372" s="0" t="n">
        <v>4.2</v>
      </c>
      <c r="K372" s="0" t="n">
        <v>1.5</v>
      </c>
      <c r="L372" s="0" t="n">
        <v>0</v>
      </c>
      <c r="M372" s="0" t="n">
        <v>0</v>
      </c>
      <c r="N372" s="0" t="n">
        <v>0</v>
      </c>
      <c r="O372" s="8" t="n">
        <f aca="false">ROUND(I372+L372,2)</f>
        <v>5.8</v>
      </c>
      <c r="P372" s="8" t="n">
        <f aca="false">ROUND(J372+M372,2)</f>
        <v>4.2</v>
      </c>
      <c r="Q372" s="8" t="n">
        <f aca="false">ROUND(K372+N372,2)</f>
        <v>1.5</v>
      </c>
    </row>
    <row r="373" customFormat="false" ht="15" hidden="false" customHeight="false" outlineLevel="0" collapsed="false">
      <c r="A373" s="0" t="s">
        <v>605</v>
      </c>
      <c r="B373" s="0" t="s">
        <v>169</v>
      </c>
      <c r="C373" s="0" t="s">
        <v>169</v>
      </c>
      <c r="D373" s="0" t="s">
        <v>234</v>
      </c>
      <c r="E373" s="3" t="s">
        <v>209</v>
      </c>
      <c r="G373" s="8" t="s">
        <v>396</v>
      </c>
      <c r="H373" s="0" t="n">
        <v>14</v>
      </c>
      <c r="I373" s="0" t="n">
        <v>5.7</v>
      </c>
      <c r="J373" s="0" t="n">
        <v>1.8</v>
      </c>
      <c r="K373" s="0" t="n">
        <v>1.8</v>
      </c>
      <c r="L373" s="0" t="n">
        <v>0.252</v>
      </c>
      <c r="M373" s="0" t="n">
        <v>0.052</v>
      </c>
      <c r="N373" s="0" t="n">
        <v>0.108</v>
      </c>
      <c r="O373" s="8" t="n">
        <f aca="false">ROUND(I373+L373,2)</f>
        <v>5.95</v>
      </c>
      <c r="P373" s="8" t="n">
        <f aca="false">ROUND(J373+M373,2)</f>
        <v>1.85</v>
      </c>
      <c r="Q373" s="8" t="n">
        <f aca="false">ROUND(K373+N373,2)</f>
        <v>1.91</v>
      </c>
    </row>
    <row r="374" customFormat="false" ht="15" hidden="false" customHeight="false" outlineLevel="0" collapsed="false">
      <c r="A374" s="0" t="s">
        <v>606</v>
      </c>
      <c r="B374" s="0" t="s">
        <v>87</v>
      </c>
      <c r="C374" s="0" t="s">
        <v>87</v>
      </c>
      <c r="D374" s="0" t="s">
        <v>234</v>
      </c>
      <c r="E374" s="3" t="s">
        <v>211</v>
      </c>
      <c r="G374" s="8" t="s">
        <v>396</v>
      </c>
      <c r="H374" s="0" t="n">
        <v>13.4</v>
      </c>
      <c r="I374" s="0" t="n">
        <v>5.7</v>
      </c>
      <c r="J374" s="0" t="n">
        <v>2.7</v>
      </c>
      <c r="K374" s="0" t="n">
        <v>0.9</v>
      </c>
      <c r="L374" s="0" t="n">
        <v>0.342</v>
      </c>
      <c r="M374" s="0" t="n">
        <v>0.146</v>
      </c>
      <c r="N374" s="0" t="n">
        <v>0.054</v>
      </c>
      <c r="O374" s="8" t="n">
        <f aca="false">ROUND(I374+L374,2)</f>
        <v>6.04</v>
      </c>
      <c r="P374" s="8" t="n">
        <f aca="false">ROUND(J374+M374,2)</f>
        <v>2.85</v>
      </c>
      <c r="Q374" s="8" t="n">
        <f aca="false">ROUND(K374+N374,2)</f>
        <v>0.95</v>
      </c>
    </row>
    <row r="375" customFormat="false" ht="15" hidden="false" customHeight="false" outlineLevel="0" collapsed="false">
      <c r="A375" s="0" t="s">
        <v>607</v>
      </c>
      <c r="B375" s="0" t="s">
        <v>150</v>
      </c>
      <c r="C375" s="0" t="s">
        <v>150</v>
      </c>
      <c r="D375" s="0" t="s">
        <v>234</v>
      </c>
      <c r="E375" s="3" t="s">
        <v>212</v>
      </c>
      <c r="G375" s="8" t="s">
        <v>396</v>
      </c>
      <c r="H375" s="0" t="n">
        <v>14.7</v>
      </c>
      <c r="I375" s="0" t="n">
        <v>5.7</v>
      </c>
      <c r="J375" s="0" t="n">
        <v>3.7</v>
      </c>
      <c r="K375" s="0" t="n">
        <v>0.8</v>
      </c>
      <c r="L375" s="0" t="n">
        <v>0.114</v>
      </c>
      <c r="M375" s="0" t="n">
        <v>0.198</v>
      </c>
      <c r="N375" s="0" t="n">
        <v>0.045</v>
      </c>
      <c r="O375" s="8" t="n">
        <f aca="false">ROUND(I375+L375,2)</f>
        <v>5.81</v>
      </c>
      <c r="P375" s="8" t="n">
        <f aca="false">ROUND(J375+M375,2)</f>
        <v>3.9</v>
      </c>
      <c r="Q375" s="8" t="n">
        <f aca="false">ROUND(K375+N375,2)</f>
        <v>0.85</v>
      </c>
    </row>
    <row r="376" customFormat="false" ht="15" hidden="false" customHeight="false" outlineLevel="0" collapsed="false">
      <c r="A376" s="0" t="s">
        <v>608</v>
      </c>
      <c r="B376" s="0" t="s">
        <v>177</v>
      </c>
      <c r="C376" s="0" t="s">
        <v>177</v>
      </c>
      <c r="D376" s="0" t="s">
        <v>234</v>
      </c>
      <c r="E376" s="3" t="s">
        <v>210</v>
      </c>
      <c r="G376" s="8" t="s">
        <v>235</v>
      </c>
      <c r="H376" s="0" t="n">
        <v>15.1</v>
      </c>
      <c r="I376" s="0" t="n">
        <v>5.7</v>
      </c>
      <c r="J376" s="0" t="n">
        <v>1.3</v>
      </c>
      <c r="K376" s="0" t="n">
        <v>0.8</v>
      </c>
      <c r="L376" s="0" t="n">
        <v>0.342</v>
      </c>
      <c r="M376" s="0" t="n">
        <v>0.078</v>
      </c>
      <c r="N376" s="0" t="n">
        <v>0.048</v>
      </c>
      <c r="O376" s="8" t="n">
        <f aca="false">ROUND(I376+L376,2)</f>
        <v>6.04</v>
      </c>
      <c r="P376" s="8" t="n">
        <f aca="false">ROUND(J376+M376,2)</f>
        <v>1.38</v>
      </c>
      <c r="Q376" s="8" t="n">
        <f aca="false">ROUND(K376+N376,2)</f>
        <v>0.85</v>
      </c>
    </row>
    <row r="377" customFormat="false" ht="15" hidden="false" customHeight="false" outlineLevel="0" collapsed="false">
      <c r="A377" s="0" t="s">
        <v>609</v>
      </c>
      <c r="B377" s="0" t="s">
        <v>150</v>
      </c>
      <c r="C377" s="0" t="s">
        <v>150</v>
      </c>
      <c r="D377" s="0" t="s">
        <v>234</v>
      </c>
      <c r="E377" s="3" t="s">
        <v>212</v>
      </c>
      <c r="G377" s="8" t="s">
        <v>235</v>
      </c>
      <c r="H377" s="0" t="n">
        <v>19.7</v>
      </c>
      <c r="I377" s="0" t="n">
        <v>5.7</v>
      </c>
      <c r="J377" s="0" t="n">
        <v>5.8</v>
      </c>
      <c r="K377" s="0" t="n">
        <v>1.3</v>
      </c>
      <c r="L377" s="0" t="n">
        <v>0.092</v>
      </c>
      <c r="M377" s="0" t="n">
        <v>0.249</v>
      </c>
      <c r="N377" s="0" t="n">
        <v>0.059</v>
      </c>
      <c r="O377" s="8" t="n">
        <f aca="false">ROUND(I377+L377,2)</f>
        <v>5.79</v>
      </c>
      <c r="P377" s="8" t="n">
        <f aca="false">ROUND(J377+M377,2)</f>
        <v>6.05</v>
      </c>
      <c r="Q377" s="8" t="n">
        <f aca="false">ROUND(K377+N377,2)</f>
        <v>1.36</v>
      </c>
    </row>
    <row r="378" customFormat="false" ht="15" hidden="false" customHeight="false" outlineLevel="0" collapsed="false">
      <c r="A378" s="0" t="s">
        <v>155</v>
      </c>
      <c r="B378" s="0" t="s">
        <v>154</v>
      </c>
      <c r="C378" s="0" t="s">
        <v>83</v>
      </c>
      <c r="D378" s="0" t="s">
        <v>239</v>
      </c>
      <c r="E378" s="3" t="s">
        <v>212</v>
      </c>
      <c r="G378" s="8" t="s">
        <v>235</v>
      </c>
      <c r="H378" s="0" t="n">
        <v>19.6</v>
      </c>
      <c r="I378" s="0" t="n">
        <v>5.7</v>
      </c>
      <c r="J378" s="0" t="n">
        <v>8.8</v>
      </c>
      <c r="K378" s="0" t="n">
        <v>0.9</v>
      </c>
      <c r="L378" s="0" t="n">
        <v>0</v>
      </c>
      <c r="M378" s="0" t="n">
        <v>0</v>
      </c>
      <c r="N378" s="0" t="n">
        <v>0</v>
      </c>
      <c r="O378" s="8" t="n">
        <f aca="false">ROUND(I378+L378,2)</f>
        <v>5.7</v>
      </c>
      <c r="P378" s="8" t="n">
        <f aca="false">ROUND(J378+M378,2)</f>
        <v>8.8</v>
      </c>
      <c r="Q378" s="8" t="n">
        <f aca="false">ROUND(K378+N378,2)</f>
        <v>0.9</v>
      </c>
    </row>
    <row r="379" customFormat="false" ht="15" hidden="false" customHeight="false" outlineLevel="0" collapsed="false">
      <c r="A379" s="0" t="s">
        <v>610</v>
      </c>
      <c r="B379" s="0" t="s">
        <v>94</v>
      </c>
      <c r="C379" s="0" t="s">
        <v>94</v>
      </c>
      <c r="D379" s="0" t="s">
        <v>234</v>
      </c>
      <c r="E379" s="3" t="s">
        <v>211</v>
      </c>
      <c r="G379" s="8" t="s">
        <v>235</v>
      </c>
      <c r="H379" s="0" t="n">
        <v>15</v>
      </c>
      <c r="I379" s="0" t="n">
        <v>5.6</v>
      </c>
      <c r="J379" s="0" t="n">
        <v>3.5</v>
      </c>
      <c r="K379" s="0" t="n">
        <v>0.9</v>
      </c>
      <c r="L379" s="0" t="n">
        <v>0.336</v>
      </c>
      <c r="M379" s="0" t="n">
        <v>0.21</v>
      </c>
      <c r="N379" s="0" t="n">
        <v>0.054</v>
      </c>
      <c r="O379" s="8" t="n">
        <f aca="false">ROUND(I379+L379,2)</f>
        <v>5.94</v>
      </c>
      <c r="P379" s="8" t="n">
        <f aca="false">ROUND(J379+M379,2)</f>
        <v>3.71</v>
      </c>
      <c r="Q379" s="8" t="n">
        <f aca="false">ROUND(K379+N379,2)</f>
        <v>0.95</v>
      </c>
    </row>
    <row r="380" customFormat="false" ht="15" hidden="false" customHeight="false" outlineLevel="0" collapsed="false">
      <c r="A380" s="0" t="s">
        <v>611</v>
      </c>
      <c r="B380" s="0" t="s">
        <v>146</v>
      </c>
      <c r="C380" s="0" t="s">
        <v>146</v>
      </c>
      <c r="D380" s="0" t="s">
        <v>234</v>
      </c>
      <c r="E380" s="3" t="s">
        <v>210</v>
      </c>
      <c r="G380" s="8" t="s">
        <v>396</v>
      </c>
      <c r="H380" s="0" t="n">
        <v>12.5</v>
      </c>
      <c r="I380" s="0" t="n">
        <v>5.6</v>
      </c>
      <c r="J380" s="0" t="n">
        <v>1.1</v>
      </c>
      <c r="K380" s="0" t="n">
        <v>0.9</v>
      </c>
      <c r="L380" s="0" t="n">
        <v>0.336</v>
      </c>
      <c r="M380" s="0" t="n">
        <v>0.066</v>
      </c>
      <c r="N380" s="0" t="n">
        <v>0.054</v>
      </c>
      <c r="O380" s="8" t="n">
        <f aca="false">ROUND(I380+L380,2)</f>
        <v>5.94</v>
      </c>
      <c r="P380" s="8" t="n">
        <f aca="false">ROUND(J380+M380,2)</f>
        <v>1.17</v>
      </c>
      <c r="Q380" s="8" t="n">
        <f aca="false">ROUND(K380+N380,2)</f>
        <v>0.95</v>
      </c>
    </row>
    <row r="381" customFormat="false" ht="15" hidden="false" customHeight="false" outlineLevel="0" collapsed="false">
      <c r="A381" s="0" t="s">
        <v>612</v>
      </c>
      <c r="B381" s="0" t="s">
        <v>138</v>
      </c>
      <c r="C381" s="0" t="s">
        <v>138</v>
      </c>
      <c r="D381" s="0" t="s">
        <v>234</v>
      </c>
      <c r="E381" s="3" t="s">
        <v>209</v>
      </c>
      <c r="F381" s="8" t="s">
        <v>208</v>
      </c>
      <c r="G381" s="8" t="s">
        <v>235</v>
      </c>
      <c r="H381" s="0" t="n">
        <v>16.3</v>
      </c>
      <c r="I381" s="0" t="n">
        <v>5.6</v>
      </c>
      <c r="J381" s="0" t="n">
        <v>2.5</v>
      </c>
      <c r="K381" s="0" t="n">
        <v>2.6</v>
      </c>
      <c r="L381" s="0" t="n">
        <v>0.336</v>
      </c>
      <c r="M381" s="0" t="n">
        <v>0.15</v>
      </c>
      <c r="N381" s="0" t="n">
        <v>0.156</v>
      </c>
      <c r="O381" s="8" t="n">
        <f aca="false">ROUND(I381+L381,2)</f>
        <v>5.94</v>
      </c>
      <c r="P381" s="8" t="n">
        <f aca="false">ROUND(J381+M381,2)</f>
        <v>2.65</v>
      </c>
      <c r="Q381" s="8" t="n">
        <f aca="false">ROUND(K381+N381,2)</f>
        <v>2.76</v>
      </c>
    </row>
    <row r="382" customFormat="false" ht="15" hidden="false" customHeight="false" outlineLevel="0" collapsed="false">
      <c r="A382" s="0" t="s">
        <v>613</v>
      </c>
      <c r="B382" s="0" t="s">
        <v>165</v>
      </c>
      <c r="C382" s="0" t="s">
        <v>165</v>
      </c>
      <c r="D382" s="0" t="s">
        <v>234</v>
      </c>
      <c r="E382" s="3" t="s">
        <v>210</v>
      </c>
      <c r="G382" s="8" t="s">
        <v>396</v>
      </c>
      <c r="H382" s="0" t="n">
        <v>12.3</v>
      </c>
      <c r="I382" s="0" t="n">
        <v>5.5</v>
      </c>
      <c r="J382" s="0" t="n">
        <v>0.3</v>
      </c>
      <c r="K382" s="0" t="n">
        <v>0.5</v>
      </c>
      <c r="L382" s="0" t="n">
        <v>0.33</v>
      </c>
      <c r="M382" s="0" t="n">
        <v>0.018</v>
      </c>
      <c r="N382" s="0" t="n">
        <v>0.03</v>
      </c>
      <c r="O382" s="8" t="n">
        <f aca="false">ROUND(I382+L382,2)</f>
        <v>5.83</v>
      </c>
      <c r="P382" s="8" t="n">
        <f aca="false">ROUND(J382+M382,2)</f>
        <v>0.32</v>
      </c>
      <c r="Q382" s="8" t="n">
        <f aca="false">ROUND(K382+N382,2)</f>
        <v>0.53</v>
      </c>
    </row>
    <row r="383" customFormat="false" ht="15" hidden="false" customHeight="false" outlineLevel="0" collapsed="false">
      <c r="A383" s="0" t="s">
        <v>614</v>
      </c>
      <c r="B383" s="0" t="s">
        <v>177</v>
      </c>
      <c r="C383" s="0" t="s">
        <v>177</v>
      </c>
      <c r="D383" s="0" t="s">
        <v>234</v>
      </c>
      <c r="E383" s="3" t="s">
        <v>208</v>
      </c>
      <c r="G383" s="8" t="s">
        <v>235</v>
      </c>
      <c r="H383" s="0" t="n">
        <v>17.7</v>
      </c>
      <c r="I383" s="0" t="n">
        <v>5.5</v>
      </c>
      <c r="J383" s="0" t="n">
        <v>2.3</v>
      </c>
      <c r="K383" s="0" t="n">
        <v>3.5</v>
      </c>
      <c r="L383" s="0" t="n">
        <v>0.33</v>
      </c>
      <c r="M383" s="0" t="n">
        <v>0.138</v>
      </c>
      <c r="N383" s="0" t="n">
        <v>0.21</v>
      </c>
      <c r="O383" s="8" t="n">
        <f aca="false">ROUND(I383+L383,2)</f>
        <v>5.83</v>
      </c>
      <c r="P383" s="8" t="n">
        <f aca="false">ROUND(J383+M383,2)</f>
        <v>2.44</v>
      </c>
      <c r="Q383" s="8" t="n">
        <f aca="false">ROUND(K383+N383,2)</f>
        <v>3.71</v>
      </c>
    </row>
    <row r="384" customFormat="false" ht="15" hidden="false" customHeight="false" outlineLevel="0" collapsed="false">
      <c r="A384" s="0" t="s">
        <v>615</v>
      </c>
      <c r="B384" s="0" t="s">
        <v>118</v>
      </c>
      <c r="C384" s="0" t="s">
        <v>118</v>
      </c>
      <c r="D384" s="0" t="s">
        <v>234</v>
      </c>
      <c r="E384" s="3" t="s">
        <v>210</v>
      </c>
      <c r="G384" s="8" t="s">
        <v>396</v>
      </c>
      <c r="H384" s="0" t="n">
        <v>13.7</v>
      </c>
      <c r="I384" s="0" t="n">
        <v>5.5</v>
      </c>
      <c r="J384" s="0" t="n">
        <v>1</v>
      </c>
      <c r="K384" s="0" t="n">
        <v>1.1</v>
      </c>
      <c r="L384" s="0" t="n">
        <v>-0.07</v>
      </c>
      <c r="M384" s="0" t="n">
        <v>0.023</v>
      </c>
      <c r="N384" s="0" t="n">
        <v>-0.047</v>
      </c>
      <c r="O384" s="8" t="n">
        <f aca="false">ROUND(I384+L384,2)</f>
        <v>5.43</v>
      </c>
      <c r="P384" s="8" t="n">
        <f aca="false">ROUND(J384+M384,2)</f>
        <v>1.02</v>
      </c>
      <c r="Q384" s="8" t="n">
        <f aca="false">ROUND(K384+N384,2)</f>
        <v>1.05</v>
      </c>
    </row>
    <row r="385" customFormat="false" ht="15" hidden="false" customHeight="false" outlineLevel="0" collapsed="false">
      <c r="A385" s="0" t="s">
        <v>616</v>
      </c>
      <c r="B385" s="0" t="s">
        <v>161</v>
      </c>
      <c r="C385" s="0" t="s">
        <v>161</v>
      </c>
      <c r="D385" s="0" t="s">
        <v>234</v>
      </c>
      <c r="E385" s="3" t="s">
        <v>210</v>
      </c>
      <c r="G385" s="8" t="s">
        <v>396</v>
      </c>
      <c r="H385" s="0" t="n">
        <v>12.6</v>
      </c>
      <c r="I385" s="0" t="n">
        <v>5.5</v>
      </c>
      <c r="J385" s="0" t="n">
        <v>1.6</v>
      </c>
      <c r="K385" s="0" t="n">
        <v>0.8</v>
      </c>
      <c r="L385" s="0" t="n">
        <v>0.019</v>
      </c>
      <c r="M385" s="0" t="n">
        <v>-0.012</v>
      </c>
      <c r="N385" s="0" t="n">
        <v>0.019</v>
      </c>
      <c r="O385" s="8" t="n">
        <f aca="false">ROUND(I385+L385,2)</f>
        <v>5.52</v>
      </c>
      <c r="P385" s="8" t="n">
        <f aca="false">ROUND(J385+M385,2)</f>
        <v>1.59</v>
      </c>
      <c r="Q385" s="8" t="n">
        <f aca="false">ROUND(K385+N385,2)</f>
        <v>0.82</v>
      </c>
    </row>
    <row r="386" customFormat="false" ht="15" hidden="false" customHeight="false" outlineLevel="0" collapsed="false">
      <c r="A386" s="0" t="s">
        <v>617</v>
      </c>
      <c r="B386" s="0" t="s">
        <v>106</v>
      </c>
      <c r="C386" s="0" t="s">
        <v>106</v>
      </c>
      <c r="D386" s="0" t="s">
        <v>243</v>
      </c>
      <c r="E386" s="3" t="s">
        <v>210</v>
      </c>
      <c r="G386" s="8" t="s">
        <v>235</v>
      </c>
      <c r="H386" s="0" t="n">
        <v>22.1</v>
      </c>
      <c r="I386" s="0" t="n">
        <v>5.5</v>
      </c>
      <c r="J386" s="0" t="n">
        <v>3.3</v>
      </c>
      <c r="K386" s="0" t="n">
        <v>0.8</v>
      </c>
      <c r="L386" s="0" t="n">
        <v>0.106</v>
      </c>
      <c r="M386" s="0" t="n">
        <v>0.007</v>
      </c>
      <c r="N386" s="0" t="n">
        <v>-0.03</v>
      </c>
      <c r="O386" s="8" t="n">
        <f aca="false">ROUND(I386+L386,2)</f>
        <v>5.61</v>
      </c>
      <c r="P386" s="8" t="n">
        <f aca="false">ROUND(J386+M386,2)</f>
        <v>3.31</v>
      </c>
      <c r="Q386" s="8" t="n">
        <f aca="false">ROUND(K386+N386,2)</f>
        <v>0.77</v>
      </c>
    </row>
    <row r="387" customFormat="false" ht="15" hidden="false" customHeight="false" outlineLevel="0" collapsed="false">
      <c r="A387" s="0" t="s">
        <v>618</v>
      </c>
      <c r="B387" s="0" t="s">
        <v>91</v>
      </c>
      <c r="C387" s="0" t="s">
        <v>192</v>
      </c>
      <c r="D387" s="0" t="s">
        <v>239</v>
      </c>
      <c r="E387" s="3" t="s">
        <v>209</v>
      </c>
      <c r="G387" s="8" t="s">
        <v>396</v>
      </c>
      <c r="H387" s="0" t="n">
        <v>12.6</v>
      </c>
      <c r="I387" s="0" t="n">
        <v>5.5</v>
      </c>
      <c r="J387" s="0" t="n">
        <v>1.7</v>
      </c>
      <c r="K387" s="0" t="n">
        <v>1.6</v>
      </c>
      <c r="L387" s="0" t="n">
        <v>0</v>
      </c>
      <c r="M387" s="0" t="n">
        <v>0</v>
      </c>
      <c r="N387" s="0" t="n">
        <v>0</v>
      </c>
      <c r="O387" s="8" t="n">
        <f aca="false">ROUND(I387+L387,2)</f>
        <v>5.5</v>
      </c>
      <c r="P387" s="8" t="n">
        <f aca="false">ROUND(J387+M387,2)</f>
        <v>1.7</v>
      </c>
      <c r="Q387" s="8" t="n">
        <f aca="false">ROUND(K387+N387,2)</f>
        <v>1.6</v>
      </c>
    </row>
    <row r="388" customFormat="false" ht="15" hidden="false" customHeight="false" outlineLevel="0" collapsed="false">
      <c r="A388" s="0" t="s">
        <v>619</v>
      </c>
      <c r="B388" s="0" t="s">
        <v>83</v>
      </c>
      <c r="C388" s="0" t="s">
        <v>83</v>
      </c>
      <c r="D388" s="0" t="s">
        <v>234</v>
      </c>
      <c r="E388" s="3" t="s">
        <v>210</v>
      </c>
      <c r="G388" s="8" t="s">
        <v>235</v>
      </c>
      <c r="H388" s="0" t="n">
        <v>18.6</v>
      </c>
      <c r="I388" s="0" t="n">
        <v>5.5</v>
      </c>
      <c r="J388" s="0" t="n">
        <v>3.5</v>
      </c>
      <c r="K388" s="0" t="n">
        <v>1.5</v>
      </c>
      <c r="L388" s="0" t="n">
        <v>0.33</v>
      </c>
      <c r="M388" s="0" t="n">
        <v>0.21</v>
      </c>
      <c r="N388" s="0" t="n">
        <v>0.09</v>
      </c>
      <c r="O388" s="8" t="n">
        <f aca="false">ROUND(I388+L388,2)</f>
        <v>5.83</v>
      </c>
      <c r="P388" s="8" t="n">
        <f aca="false">ROUND(J388+M388,2)</f>
        <v>3.71</v>
      </c>
      <c r="Q388" s="8" t="n">
        <f aca="false">ROUND(K388+N388,2)</f>
        <v>1.59</v>
      </c>
    </row>
    <row r="389" customFormat="false" ht="15" hidden="false" customHeight="false" outlineLevel="0" collapsed="false">
      <c r="A389" s="0" t="s">
        <v>620</v>
      </c>
      <c r="B389" s="0" t="s">
        <v>161</v>
      </c>
      <c r="C389" s="0" t="s">
        <v>161</v>
      </c>
      <c r="D389" s="0" t="s">
        <v>234</v>
      </c>
      <c r="E389" s="3" t="s">
        <v>210</v>
      </c>
      <c r="G389" s="8" t="s">
        <v>396</v>
      </c>
      <c r="H389" s="0" t="n">
        <v>12.2</v>
      </c>
      <c r="I389" s="0" t="n">
        <v>5.4</v>
      </c>
      <c r="J389" s="0" t="n">
        <v>2</v>
      </c>
      <c r="K389" s="0" t="n">
        <v>0.7</v>
      </c>
      <c r="L389" s="0" t="n">
        <v>0.019</v>
      </c>
      <c r="M389" s="0" t="n">
        <v>-0.015</v>
      </c>
      <c r="N389" s="0" t="n">
        <v>0.017</v>
      </c>
      <c r="O389" s="8" t="n">
        <f aca="false">ROUND(I389+L389,2)</f>
        <v>5.42</v>
      </c>
      <c r="P389" s="8" t="n">
        <f aca="false">ROUND(J389+M389,2)</f>
        <v>1.99</v>
      </c>
      <c r="Q389" s="8" t="n">
        <f aca="false">ROUND(K389+N389,2)</f>
        <v>0.72</v>
      </c>
    </row>
    <row r="390" customFormat="false" ht="15" hidden="false" customHeight="false" outlineLevel="0" collapsed="false">
      <c r="A390" s="0" t="s">
        <v>621</v>
      </c>
      <c r="B390" s="0" t="s">
        <v>177</v>
      </c>
      <c r="C390" s="0" t="s">
        <v>177</v>
      </c>
      <c r="D390" s="0" t="s">
        <v>234</v>
      </c>
      <c r="E390" s="3" t="s">
        <v>212</v>
      </c>
      <c r="G390" s="8" t="s">
        <v>235</v>
      </c>
      <c r="H390" s="0" t="n">
        <v>20.6</v>
      </c>
      <c r="I390" s="0" t="n">
        <v>5.4</v>
      </c>
      <c r="J390" s="0" t="n">
        <v>7.5</v>
      </c>
      <c r="K390" s="0" t="n">
        <v>1.4</v>
      </c>
      <c r="L390" s="0" t="n">
        <v>0.324</v>
      </c>
      <c r="M390" s="0" t="n">
        <v>0.431</v>
      </c>
      <c r="N390" s="0" t="n">
        <v>0.084</v>
      </c>
      <c r="O390" s="8" t="n">
        <f aca="false">ROUND(I390+L390,2)</f>
        <v>5.72</v>
      </c>
      <c r="P390" s="8" t="n">
        <f aca="false">ROUND(J390+M390,2)</f>
        <v>7.93</v>
      </c>
      <c r="Q390" s="8" t="n">
        <f aca="false">ROUND(K390+N390,2)</f>
        <v>1.48</v>
      </c>
    </row>
    <row r="391" customFormat="false" ht="15" hidden="false" customHeight="false" outlineLevel="0" collapsed="false">
      <c r="A391" s="0" t="s">
        <v>622</v>
      </c>
      <c r="B391" s="0" t="s">
        <v>169</v>
      </c>
      <c r="C391" s="0" t="s">
        <v>169</v>
      </c>
      <c r="D391" s="0" t="s">
        <v>243</v>
      </c>
      <c r="E391" s="3" t="s">
        <v>210</v>
      </c>
      <c r="G391" s="8" t="s">
        <v>396</v>
      </c>
      <c r="H391" s="0" t="n">
        <v>13</v>
      </c>
      <c r="I391" s="0" t="n">
        <v>5.4</v>
      </c>
      <c r="J391" s="0" t="n">
        <v>1.9</v>
      </c>
      <c r="K391" s="0" t="n">
        <v>1</v>
      </c>
      <c r="L391" s="0" t="n">
        <v>0.248</v>
      </c>
      <c r="M391" s="0" t="n">
        <v>0.057</v>
      </c>
      <c r="N391" s="0" t="n">
        <v>0.06</v>
      </c>
      <c r="O391" s="8" t="n">
        <f aca="false">ROUND(I391+L391,2)</f>
        <v>5.65</v>
      </c>
      <c r="P391" s="8" t="n">
        <f aca="false">ROUND(J391+M391,2)</f>
        <v>1.96</v>
      </c>
      <c r="Q391" s="8" t="n">
        <f aca="false">ROUND(K391+N391,2)</f>
        <v>1.06</v>
      </c>
    </row>
    <row r="392" customFormat="false" ht="15" hidden="false" customHeight="false" outlineLevel="0" collapsed="false">
      <c r="A392" s="0" t="s">
        <v>623</v>
      </c>
      <c r="B392" s="0" t="s">
        <v>91</v>
      </c>
      <c r="C392" s="0" t="s">
        <v>91</v>
      </c>
      <c r="D392" s="0" t="s">
        <v>234</v>
      </c>
      <c r="E392" s="3" t="s">
        <v>209</v>
      </c>
      <c r="F392" s="8" t="s">
        <v>210</v>
      </c>
      <c r="G392" s="8" t="s">
        <v>235</v>
      </c>
      <c r="H392" s="0" t="n">
        <v>22.5</v>
      </c>
      <c r="I392" s="0" t="n">
        <v>5.4</v>
      </c>
      <c r="J392" s="0" t="n">
        <v>3.5</v>
      </c>
      <c r="K392" s="0" t="n">
        <v>2</v>
      </c>
      <c r="L392" s="0" t="n">
        <v>0.324</v>
      </c>
      <c r="M392" s="0" t="n">
        <v>0.123</v>
      </c>
      <c r="N392" s="0" t="n">
        <v>0.12</v>
      </c>
      <c r="O392" s="8" t="n">
        <f aca="false">ROUND(I392+L392,2)</f>
        <v>5.72</v>
      </c>
      <c r="P392" s="8" t="n">
        <f aca="false">ROUND(J392+M392,2)</f>
        <v>3.62</v>
      </c>
      <c r="Q392" s="8" t="n">
        <f aca="false">ROUND(K392+N392,2)</f>
        <v>2.12</v>
      </c>
    </row>
    <row r="393" customFormat="false" ht="15" hidden="false" customHeight="false" outlineLevel="0" collapsed="false">
      <c r="A393" s="0" t="s">
        <v>624</v>
      </c>
      <c r="B393" s="0" t="s">
        <v>142</v>
      </c>
      <c r="C393" s="0" t="s">
        <v>142</v>
      </c>
      <c r="D393" s="0" t="s">
        <v>243</v>
      </c>
      <c r="E393" s="3" t="s">
        <v>211</v>
      </c>
      <c r="G393" s="8" t="s">
        <v>235</v>
      </c>
      <c r="H393" s="0" t="n">
        <v>15.7</v>
      </c>
      <c r="I393" s="0" t="n">
        <v>5.4</v>
      </c>
      <c r="J393" s="0" t="n">
        <v>2.7</v>
      </c>
      <c r="K393" s="0" t="n">
        <v>1</v>
      </c>
      <c r="L393" s="0" t="n">
        <v>0.324</v>
      </c>
      <c r="M393" s="0" t="n">
        <v>0.162</v>
      </c>
      <c r="N393" s="0" t="n">
        <v>0.016</v>
      </c>
      <c r="O393" s="8" t="n">
        <f aca="false">ROUND(I393+L393,2)</f>
        <v>5.72</v>
      </c>
      <c r="P393" s="8" t="n">
        <f aca="false">ROUND(J393+M393,2)</f>
        <v>2.86</v>
      </c>
      <c r="Q393" s="8" t="n">
        <f aca="false">ROUND(K393+N393,2)</f>
        <v>1.02</v>
      </c>
    </row>
    <row r="394" customFormat="false" ht="15" hidden="false" customHeight="false" outlineLevel="0" collapsed="false">
      <c r="A394" s="0" t="s">
        <v>625</v>
      </c>
      <c r="B394" s="0" t="s">
        <v>98</v>
      </c>
      <c r="C394" s="0" t="s">
        <v>98</v>
      </c>
      <c r="D394" s="0" t="s">
        <v>234</v>
      </c>
      <c r="E394" s="3" t="s">
        <v>209</v>
      </c>
      <c r="G394" s="8" t="s">
        <v>396</v>
      </c>
      <c r="H394" s="0" t="n">
        <v>10.9</v>
      </c>
      <c r="I394" s="0" t="n">
        <v>5.4</v>
      </c>
      <c r="J394" s="0" t="n">
        <v>1.3</v>
      </c>
      <c r="K394" s="0" t="n">
        <v>1.5</v>
      </c>
      <c r="L394" s="0" t="n">
        <v>0.324</v>
      </c>
      <c r="M394" s="0" t="n">
        <v>0.078</v>
      </c>
      <c r="N394" s="0" t="n">
        <v>0.09</v>
      </c>
      <c r="O394" s="8" t="n">
        <f aca="false">ROUND(I394+L394,2)</f>
        <v>5.72</v>
      </c>
      <c r="P394" s="8" t="n">
        <f aca="false">ROUND(J394+M394,2)</f>
        <v>1.38</v>
      </c>
      <c r="Q394" s="8" t="n">
        <f aca="false">ROUND(K394+N394,2)</f>
        <v>1.59</v>
      </c>
    </row>
    <row r="395" customFormat="false" ht="15" hidden="false" customHeight="false" outlineLevel="0" collapsed="false">
      <c r="A395" s="0" t="s">
        <v>626</v>
      </c>
      <c r="B395" s="0" t="s">
        <v>83</v>
      </c>
      <c r="C395" s="0" t="s">
        <v>83</v>
      </c>
      <c r="D395" s="0" t="s">
        <v>243</v>
      </c>
      <c r="E395" s="3" t="s">
        <v>210</v>
      </c>
      <c r="G395" s="8" t="s">
        <v>235</v>
      </c>
      <c r="H395" s="0" t="n">
        <v>17.8</v>
      </c>
      <c r="I395" s="0" t="n">
        <v>5.4</v>
      </c>
      <c r="J395" s="0" t="n">
        <v>4</v>
      </c>
      <c r="K395" s="0" t="n">
        <v>0.8</v>
      </c>
      <c r="L395" s="0" t="n">
        <v>0.324</v>
      </c>
      <c r="M395" s="0" t="n">
        <v>0.24</v>
      </c>
      <c r="N395" s="0" t="n">
        <v>0.048</v>
      </c>
      <c r="O395" s="8" t="n">
        <f aca="false">ROUND(I395+L395,2)</f>
        <v>5.72</v>
      </c>
      <c r="P395" s="8" t="n">
        <f aca="false">ROUND(J395+M395,2)</f>
        <v>4.24</v>
      </c>
      <c r="Q395" s="8" t="n">
        <f aca="false">ROUND(K395+N395,2)</f>
        <v>0.85</v>
      </c>
    </row>
    <row r="396" customFormat="false" ht="15" hidden="false" customHeight="false" outlineLevel="0" collapsed="false">
      <c r="A396" s="0" t="s">
        <v>627</v>
      </c>
      <c r="B396" s="0" t="s">
        <v>134</v>
      </c>
      <c r="C396" s="0" t="s">
        <v>134</v>
      </c>
      <c r="D396" s="0" t="s">
        <v>234</v>
      </c>
      <c r="E396" s="3" t="s">
        <v>210</v>
      </c>
      <c r="G396" s="8" t="s">
        <v>235</v>
      </c>
      <c r="H396" s="0" t="n">
        <v>16.8</v>
      </c>
      <c r="I396" s="0" t="n">
        <v>5.2</v>
      </c>
      <c r="J396" s="0" t="n">
        <v>2.9</v>
      </c>
      <c r="K396" s="0" t="n">
        <v>1.1</v>
      </c>
      <c r="L396" s="0" t="n">
        <v>0.312</v>
      </c>
      <c r="M396" s="0" t="n">
        <v>0.174</v>
      </c>
      <c r="N396" s="0" t="n">
        <v>0.066</v>
      </c>
      <c r="O396" s="8" t="n">
        <f aca="false">ROUND(I396+L396,2)</f>
        <v>5.51</v>
      </c>
      <c r="P396" s="8" t="n">
        <f aca="false">ROUND(J396+M396,2)</f>
        <v>3.07</v>
      </c>
      <c r="Q396" s="8" t="n">
        <f aca="false">ROUND(K396+N396,2)</f>
        <v>1.17</v>
      </c>
    </row>
    <row r="397" customFormat="false" ht="15" hidden="false" customHeight="false" outlineLevel="0" collapsed="false">
      <c r="A397" s="0" t="s">
        <v>628</v>
      </c>
      <c r="B397" s="0" t="s">
        <v>150</v>
      </c>
      <c r="C397" s="0" t="s">
        <v>150</v>
      </c>
      <c r="D397" s="0" t="s">
        <v>234</v>
      </c>
      <c r="E397" s="3" t="s">
        <v>210</v>
      </c>
      <c r="G397" s="8" t="s">
        <v>396</v>
      </c>
      <c r="H397" s="0" t="n">
        <v>12.3</v>
      </c>
      <c r="I397" s="0" t="n">
        <v>5.2</v>
      </c>
      <c r="J397" s="0" t="n">
        <v>1.2</v>
      </c>
      <c r="K397" s="0" t="n">
        <v>1</v>
      </c>
      <c r="L397" s="0" t="n">
        <v>0.114</v>
      </c>
      <c r="M397" s="0" t="n">
        <v>0.07</v>
      </c>
      <c r="N397" s="0" t="n">
        <v>0.06</v>
      </c>
      <c r="O397" s="8" t="n">
        <f aca="false">ROUND(I397+L397,2)</f>
        <v>5.31</v>
      </c>
      <c r="P397" s="8" t="n">
        <f aca="false">ROUND(J397+M397,2)</f>
        <v>1.27</v>
      </c>
      <c r="Q397" s="8" t="n">
        <f aca="false">ROUND(K397+N397,2)</f>
        <v>1.06</v>
      </c>
    </row>
    <row r="398" customFormat="false" ht="15" hidden="false" customHeight="false" outlineLevel="0" collapsed="false">
      <c r="A398" s="0" t="s">
        <v>629</v>
      </c>
      <c r="B398" s="0" t="s">
        <v>177</v>
      </c>
      <c r="C398" s="0" t="s">
        <v>177</v>
      </c>
      <c r="D398" s="0" t="s">
        <v>234</v>
      </c>
      <c r="E398" s="3" t="s">
        <v>211</v>
      </c>
      <c r="G398" s="8" t="s">
        <v>396</v>
      </c>
      <c r="H398" s="0" t="n">
        <v>13.1</v>
      </c>
      <c r="I398" s="0" t="n">
        <v>5.2</v>
      </c>
      <c r="J398" s="0" t="n">
        <v>3</v>
      </c>
      <c r="K398" s="0" t="n">
        <v>0.5</v>
      </c>
      <c r="L398" s="0" t="n">
        <v>0.312</v>
      </c>
      <c r="M398" s="0" t="n">
        <v>0.18</v>
      </c>
      <c r="N398" s="0" t="n">
        <v>0.03</v>
      </c>
      <c r="O398" s="8" t="n">
        <f aca="false">ROUND(I398+L398,2)</f>
        <v>5.51</v>
      </c>
      <c r="P398" s="8" t="n">
        <f aca="false">ROUND(J398+M398,2)</f>
        <v>3.18</v>
      </c>
      <c r="Q398" s="8" t="n">
        <f aca="false">ROUND(K398+N398,2)</f>
        <v>0.53</v>
      </c>
    </row>
    <row r="399" customFormat="false" ht="15" hidden="false" customHeight="false" outlineLevel="0" collapsed="false">
      <c r="A399" s="0" t="s">
        <v>630</v>
      </c>
      <c r="B399" s="0" t="s">
        <v>188</v>
      </c>
      <c r="C399" s="0" t="s">
        <v>188</v>
      </c>
      <c r="D399" s="0" t="s">
        <v>234</v>
      </c>
      <c r="E399" s="3" t="s">
        <v>211</v>
      </c>
      <c r="G399" s="8" t="s">
        <v>396</v>
      </c>
      <c r="H399" s="0" t="n">
        <v>33.8</v>
      </c>
      <c r="I399" s="0" t="n">
        <v>5.2</v>
      </c>
      <c r="J399" s="0" t="n">
        <v>8.4</v>
      </c>
      <c r="K399" s="0" t="n">
        <v>2.8</v>
      </c>
      <c r="L399" s="0" t="n">
        <v>0.132</v>
      </c>
      <c r="M399" s="0" t="n">
        <v>0.278</v>
      </c>
      <c r="N399" s="0" t="n">
        <v>0.097</v>
      </c>
      <c r="O399" s="8" t="n">
        <f aca="false">ROUND(I399+L399,2)</f>
        <v>5.33</v>
      </c>
      <c r="P399" s="8" t="n">
        <f aca="false">ROUND(J399+M399,2)</f>
        <v>8.68</v>
      </c>
      <c r="Q399" s="8" t="n">
        <f aca="false">ROUND(K399+N399,2)</f>
        <v>2.9</v>
      </c>
    </row>
    <row r="400" customFormat="false" ht="15" hidden="false" customHeight="false" outlineLevel="0" collapsed="false">
      <c r="A400" s="0" t="s">
        <v>631</v>
      </c>
      <c r="B400" s="0" t="s">
        <v>122</v>
      </c>
      <c r="C400" s="0" t="s">
        <v>122</v>
      </c>
      <c r="D400" s="0" t="s">
        <v>234</v>
      </c>
      <c r="E400" s="3" t="s">
        <v>210</v>
      </c>
      <c r="G400" s="8" t="s">
        <v>396</v>
      </c>
      <c r="H400" s="0" t="n">
        <v>13.1</v>
      </c>
      <c r="I400" s="0" t="n">
        <v>5.2</v>
      </c>
      <c r="J400" s="0" t="n">
        <v>1.1</v>
      </c>
      <c r="K400" s="0" t="n">
        <v>0.7</v>
      </c>
      <c r="L400" s="0" t="n">
        <v>0.312</v>
      </c>
      <c r="M400" s="0" t="n">
        <v>0.066</v>
      </c>
      <c r="N400" s="0" t="n">
        <v>0.042</v>
      </c>
      <c r="O400" s="8" t="n">
        <f aca="false">ROUND(I400+L400,2)</f>
        <v>5.51</v>
      </c>
      <c r="P400" s="8" t="n">
        <f aca="false">ROUND(J400+M400,2)</f>
        <v>1.17</v>
      </c>
      <c r="Q400" s="8" t="n">
        <f aca="false">ROUND(K400+N400,2)</f>
        <v>0.74</v>
      </c>
    </row>
    <row r="401" customFormat="false" ht="15" hidden="false" customHeight="false" outlineLevel="0" collapsed="false">
      <c r="A401" s="0" t="s">
        <v>632</v>
      </c>
      <c r="B401" s="0" t="s">
        <v>79</v>
      </c>
      <c r="C401" s="0" t="s">
        <v>79</v>
      </c>
      <c r="D401" s="0" t="s">
        <v>234</v>
      </c>
      <c r="E401" s="3" t="s">
        <v>210</v>
      </c>
      <c r="G401" s="8" t="s">
        <v>396</v>
      </c>
      <c r="H401" s="0" t="n">
        <v>11.4</v>
      </c>
      <c r="I401" s="0" t="n">
        <v>5.2</v>
      </c>
      <c r="J401" s="0" t="n">
        <v>2.2</v>
      </c>
      <c r="K401" s="0" t="n">
        <v>0.6</v>
      </c>
      <c r="L401" s="0" t="n">
        <v>0.312</v>
      </c>
      <c r="M401" s="0" t="n">
        <v>0.132</v>
      </c>
      <c r="N401" s="0" t="n">
        <v>0.036</v>
      </c>
      <c r="O401" s="8" t="n">
        <f aca="false">ROUND(I401+L401,2)</f>
        <v>5.51</v>
      </c>
      <c r="P401" s="8" t="n">
        <f aca="false">ROUND(J401+M401,2)</f>
        <v>2.33</v>
      </c>
      <c r="Q401" s="8" t="n">
        <f aca="false">ROUND(K401+N401,2)</f>
        <v>0.64</v>
      </c>
    </row>
    <row r="402" customFormat="false" ht="15" hidden="false" customHeight="false" outlineLevel="0" collapsed="false">
      <c r="A402" s="0" t="s">
        <v>633</v>
      </c>
      <c r="B402" s="0" t="s">
        <v>106</v>
      </c>
      <c r="C402" s="0" t="s">
        <v>106</v>
      </c>
      <c r="D402" s="0" t="s">
        <v>234</v>
      </c>
      <c r="E402" s="3" t="s">
        <v>208</v>
      </c>
      <c r="G402" s="8" t="s">
        <v>235</v>
      </c>
      <c r="H402" s="0" t="n">
        <v>16.1</v>
      </c>
      <c r="I402" s="0" t="n">
        <v>5.2</v>
      </c>
      <c r="J402" s="0" t="n">
        <v>2.3</v>
      </c>
      <c r="K402" s="0" t="n">
        <v>2.3</v>
      </c>
      <c r="L402" s="0" t="n">
        <v>0.133</v>
      </c>
      <c r="M402" s="0" t="n">
        <v>0.006</v>
      </c>
      <c r="N402" s="0" t="n">
        <v>-0.116</v>
      </c>
      <c r="O402" s="8" t="n">
        <f aca="false">ROUND(I402+L402,2)</f>
        <v>5.33</v>
      </c>
      <c r="P402" s="8" t="n">
        <f aca="false">ROUND(J402+M402,2)</f>
        <v>2.31</v>
      </c>
      <c r="Q402" s="8" t="n">
        <f aca="false">ROUND(K402+N402,2)</f>
        <v>2.18</v>
      </c>
    </row>
    <row r="403" customFormat="false" ht="15" hidden="false" customHeight="false" outlineLevel="0" collapsed="false">
      <c r="A403" s="0" t="s">
        <v>634</v>
      </c>
      <c r="B403" s="0" t="s">
        <v>110</v>
      </c>
      <c r="C403" s="0" t="s">
        <v>102</v>
      </c>
      <c r="D403" s="0" t="s">
        <v>239</v>
      </c>
      <c r="E403" s="3" t="s">
        <v>208</v>
      </c>
      <c r="G403" s="8" t="s">
        <v>396</v>
      </c>
      <c r="H403" s="0" t="n">
        <v>12</v>
      </c>
      <c r="I403" s="0" t="n">
        <v>5.2</v>
      </c>
      <c r="J403" s="0" t="n">
        <v>1</v>
      </c>
      <c r="K403" s="0" t="n">
        <v>2</v>
      </c>
      <c r="L403" s="0" t="n">
        <v>0</v>
      </c>
      <c r="M403" s="0" t="n">
        <v>0</v>
      </c>
      <c r="N403" s="0" t="n">
        <v>0</v>
      </c>
      <c r="O403" s="8" t="n">
        <f aca="false">ROUND(I403+L403,2)</f>
        <v>5.2</v>
      </c>
      <c r="P403" s="8" t="n">
        <f aca="false">ROUND(J403+M403,2)</f>
        <v>1</v>
      </c>
      <c r="Q403" s="8" t="n">
        <f aca="false">ROUND(K403+N403,2)</f>
        <v>2</v>
      </c>
    </row>
    <row r="404" customFormat="false" ht="15" hidden="false" customHeight="false" outlineLevel="0" collapsed="false">
      <c r="A404" s="0" t="s">
        <v>635</v>
      </c>
      <c r="B404" s="0" t="s">
        <v>158</v>
      </c>
      <c r="C404" s="0" t="s">
        <v>158</v>
      </c>
      <c r="D404" s="0" t="s">
        <v>234</v>
      </c>
      <c r="E404" s="3" t="s">
        <v>208</v>
      </c>
      <c r="G404" s="8" t="s">
        <v>235</v>
      </c>
      <c r="H404" s="0" t="n">
        <v>16</v>
      </c>
      <c r="I404" s="0" t="n">
        <v>5.2</v>
      </c>
      <c r="J404" s="0" t="n">
        <v>1.9</v>
      </c>
      <c r="K404" s="0" t="n">
        <v>4.4</v>
      </c>
      <c r="L404" s="0" t="n">
        <v>0.312</v>
      </c>
      <c r="M404" s="0" t="n">
        <v>0.114</v>
      </c>
      <c r="N404" s="0" t="n">
        <v>0.264</v>
      </c>
      <c r="O404" s="8" t="n">
        <f aca="false">ROUND(I404+L404,2)</f>
        <v>5.51</v>
      </c>
      <c r="P404" s="8" t="n">
        <f aca="false">ROUND(J404+M404,2)</f>
        <v>2.01</v>
      </c>
      <c r="Q404" s="8" t="n">
        <f aca="false">ROUND(K404+N404,2)</f>
        <v>4.66</v>
      </c>
    </row>
    <row r="405" customFormat="false" ht="15" hidden="false" customHeight="false" outlineLevel="0" collapsed="false">
      <c r="A405" s="0" t="s">
        <v>636</v>
      </c>
      <c r="B405" s="0" t="s">
        <v>87</v>
      </c>
      <c r="C405" s="0" t="s">
        <v>87</v>
      </c>
      <c r="D405" s="0" t="s">
        <v>234</v>
      </c>
      <c r="E405" s="3" t="s">
        <v>210</v>
      </c>
      <c r="F405" s="8" t="s">
        <v>209</v>
      </c>
      <c r="G405" s="8" t="s">
        <v>235</v>
      </c>
      <c r="H405" s="0" t="n">
        <v>15.7</v>
      </c>
      <c r="I405" s="0" t="n">
        <v>5.1</v>
      </c>
      <c r="J405" s="0" t="n">
        <v>2.3</v>
      </c>
      <c r="K405" s="0" t="n">
        <v>0.8</v>
      </c>
      <c r="L405" s="0" t="n">
        <v>0.306</v>
      </c>
      <c r="M405" s="0" t="n">
        <v>0.114</v>
      </c>
      <c r="N405" s="0" t="n">
        <v>0.048</v>
      </c>
      <c r="O405" s="8" t="n">
        <f aca="false">ROUND(I405+L405,2)</f>
        <v>5.41</v>
      </c>
      <c r="P405" s="8" t="n">
        <f aca="false">ROUND(J405+M405,2)</f>
        <v>2.41</v>
      </c>
      <c r="Q405" s="8" t="n">
        <f aca="false">ROUND(K405+N405,2)</f>
        <v>0.85</v>
      </c>
    </row>
    <row r="406" customFormat="false" ht="15" hidden="false" customHeight="false" outlineLevel="0" collapsed="false">
      <c r="A406" s="0" t="s">
        <v>637</v>
      </c>
      <c r="B406" s="0" t="s">
        <v>173</v>
      </c>
      <c r="C406" s="0" t="s">
        <v>173</v>
      </c>
      <c r="D406" s="0" t="s">
        <v>234</v>
      </c>
      <c r="E406" s="3" t="s">
        <v>210</v>
      </c>
      <c r="G406" s="8" t="s">
        <v>235</v>
      </c>
      <c r="H406" s="0" t="n">
        <v>19.1</v>
      </c>
      <c r="I406" s="0" t="n">
        <v>5.1</v>
      </c>
      <c r="J406" s="0" t="n">
        <v>2.2</v>
      </c>
      <c r="K406" s="0" t="n">
        <v>1.5</v>
      </c>
      <c r="L406" s="0" t="n">
        <v>0.18</v>
      </c>
      <c r="M406" s="0" t="n">
        <v>0.053</v>
      </c>
      <c r="N406" s="0" t="n">
        <v>-0.036</v>
      </c>
      <c r="O406" s="8" t="n">
        <f aca="false">ROUND(I406+L406,2)</f>
        <v>5.28</v>
      </c>
      <c r="P406" s="8" t="n">
        <f aca="false">ROUND(J406+M406,2)</f>
        <v>2.25</v>
      </c>
      <c r="Q406" s="8" t="n">
        <f aca="false">ROUND(K406+N406,2)</f>
        <v>1.46</v>
      </c>
    </row>
    <row r="407" customFormat="false" ht="15" hidden="false" customHeight="false" outlineLevel="0" collapsed="false">
      <c r="A407" s="0" t="s">
        <v>638</v>
      </c>
      <c r="B407" s="0" t="s">
        <v>122</v>
      </c>
      <c r="C407" s="0" t="s">
        <v>122</v>
      </c>
      <c r="D407" s="0" t="s">
        <v>234</v>
      </c>
      <c r="E407" s="3" t="s">
        <v>210</v>
      </c>
      <c r="G407" s="8" t="s">
        <v>235</v>
      </c>
      <c r="H407" s="0" t="n">
        <v>18.4</v>
      </c>
      <c r="I407" s="0" t="n">
        <v>5.1</v>
      </c>
      <c r="J407" s="0" t="n">
        <v>4.4</v>
      </c>
      <c r="K407" s="0" t="n">
        <v>1.2</v>
      </c>
      <c r="L407" s="0" t="n">
        <v>0.306</v>
      </c>
      <c r="M407" s="0" t="n">
        <v>0.264</v>
      </c>
      <c r="N407" s="0" t="n">
        <v>0.072</v>
      </c>
      <c r="O407" s="8" t="n">
        <f aca="false">ROUND(I407+L407,2)</f>
        <v>5.41</v>
      </c>
      <c r="P407" s="8" t="n">
        <f aca="false">ROUND(J407+M407,2)</f>
        <v>4.66</v>
      </c>
      <c r="Q407" s="8" t="n">
        <f aca="false">ROUND(K407+N407,2)</f>
        <v>1.27</v>
      </c>
    </row>
    <row r="408" customFormat="false" ht="15" hidden="false" customHeight="false" outlineLevel="0" collapsed="false">
      <c r="A408" s="0" t="s">
        <v>639</v>
      </c>
      <c r="B408" s="0" t="s">
        <v>150</v>
      </c>
      <c r="C408" s="0" t="s">
        <v>134</v>
      </c>
      <c r="D408" s="0" t="s">
        <v>239</v>
      </c>
      <c r="E408" s="3" t="s">
        <v>210</v>
      </c>
      <c r="G408" s="8" t="s">
        <v>396</v>
      </c>
      <c r="H408" s="0" t="n">
        <v>13.6</v>
      </c>
      <c r="I408" s="0" t="n">
        <v>5.1</v>
      </c>
      <c r="J408" s="0" t="n">
        <v>1.7</v>
      </c>
      <c r="K408" s="0" t="n">
        <v>0.8</v>
      </c>
      <c r="L408" s="0" t="n">
        <v>0</v>
      </c>
      <c r="M408" s="0" t="n">
        <v>0</v>
      </c>
      <c r="N408" s="0" t="n">
        <v>0</v>
      </c>
      <c r="O408" s="8" t="n">
        <f aca="false">ROUND(I408+L408,2)</f>
        <v>5.1</v>
      </c>
      <c r="P408" s="8" t="n">
        <f aca="false">ROUND(J408+M408,2)</f>
        <v>1.7</v>
      </c>
      <c r="Q408" s="8" t="n">
        <f aca="false">ROUND(K408+N408,2)</f>
        <v>0.8</v>
      </c>
    </row>
    <row r="409" customFormat="false" ht="15" hidden="false" customHeight="false" outlineLevel="0" collapsed="false">
      <c r="A409" s="0" t="s">
        <v>640</v>
      </c>
      <c r="B409" s="0" t="s">
        <v>142</v>
      </c>
      <c r="C409" s="0" t="s">
        <v>142</v>
      </c>
      <c r="D409" s="0" t="s">
        <v>234</v>
      </c>
      <c r="E409" s="3" t="s">
        <v>212</v>
      </c>
      <c r="G409" s="8" t="s">
        <v>235</v>
      </c>
      <c r="H409" s="0" t="n">
        <v>19.7</v>
      </c>
      <c r="I409" s="0" t="n">
        <v>5</v>
      </c>
      <c r="J409" s="0" t="n">
        <v>5.5</v>
      </c>
      <c r="K409" s="0" t="n">
        <v>1.6</v>
      </c>
      <c r="L409" s="0" t="n">
        <v>0.271</v>
      </c>
      <c r="M409" s="0" t="n">
        <v>0.33</v>
      </c>
      <c r="N409" s="0" t="n">
        <v>0.021</v>
      </c>
      <c r="O409" s="8" t="n">
        <f aca="false">ROUND(I409+L409,2)</f>
        <v>5.27</v>
      </c>
      <c r="P409" s="8" t="n">
        <f aca="false">ROUND(J409+M409,2)</f>
        <v>5.83</v>
      </c>
      <c r="Q409" s="8" t="n">
        <f aca="false">ROUND(K409+N409,2)</f>
        <v>1.62</v>
      </c>
    </row>
    <row r="410" customFormat="false" ht="15" hidden="false" customHeight="false" outlineLevel="0" collapsed="false">
      <c r="A410" s="0" t="s">
        <v>641</v>
      </c>
      <c r="B410" s="0" t="s">
        <v>165</v>
      </c>
      <c r="C410" s="0" t="s">
        <v>165</v>
      </c>
      <c r="D410" s="0" t="s">
        <v>234</v>
      </c>
      <c r="E410" s="3" t="s">
        <v>212</v>
      </c>
      <c r="G410" s="8" t="s">
        <v>235</v>
      </c>
      <c r="H410" s="0" t="n">
        <v>17.4</v>
      </c>
      <c r="I410" s="0" t="n">
        <v>4.8</v>
      </c>
      <c r="J410" s="0" t="n">
        <v>4.3</v>
      </c>
      <c r="K410" s="0" t="n">
        <v>0.5</v>
      </c>
      <c r="L410" s="0" t="n">
        <v>0.288</v>
      </c>
      <c r="M410" s="0" t="n">
        <v>0.258</v>
      </c>
      <c r="N410" s="0" t="n">
        <v>0.03</v>
      </c>
      <c r="O410" s="8" t="n">
        <f aca="false">ROUND(I410+L410,2)</f>
        <v>5.09</v>
      </c>
      <c r="P410" s="8" t="n">
        <f aca="false">ROUND(J410+M410,2)</f>
        <v>4.56</v>
      </c>
      <c r="Q410" s="8" t="n">
        <f aca="false">ROUND(K410+N410,2)</f>
        <v>0.53</v>
      </c>
    </row>
    <row r="411" customFormat="false" ht="15" hidden="false" customHeight="false" outlineLevel="0" collapsed="false">
      <c r="A411" s="0" t="s">
        <v>642</v>
      </c>
      <c r="B411" s="0" t="s">
        <v>173</v>
      </c>
      <c r="C411" s="0" t="s">
        <v>173</v>
      </c>
      <c r="D411" s="0" t="s">
        <v>234</v>
      </c>
      <c r="E411" s="3" t="s">
        <v>208</v>
      </c>
      <c r="G411" s="8" t="s">
        <v>396</v>
      </c>
      <c r="H411" s="0" t="n">
        <v>11.6</v>
      </c>
      <c r="I411" s="0" t="n">
        <v>4.8</v>
      </c>
      <c r="J411" s="0" t="n">
        <v>1.3</v>
      </c>
      <c r="K411" s="0" t="n">
        <v>2</v>
      </c>
      <c r="L411" s="0" t="n">
        <v>0.23</v>
      </c>
      <c r="M411" s="0" t="n">
        <v>0.043</v>
      </c>
      <c r="N411" s="0" t="n">
        <v>-0.065</v>
      </c>
      <c r="O411" s="8" t="n">
        <f aca="false">ROUND(I411+L411,2)</f>
        <v>5.03</v>
      </c>
      <c r="P411" s="8" t="n">
        <f aca="false">ROUND(J411+M411,2)</f>
        <v>1.34</v>
      </c>
      <c r="Q411" s="8" t="n">
        <f aca="false">ROUND(K411+N411,2)</f>
        <v>1.94</v>
      </c>
    </row>
    <row r="412" customFormat="false" ht="15" hidden="false" customHeight="false" outlineLevel="0" collapsed="false">
      <c r="A412" s="0" t="s">
        <v>643</v>
      </c>
      <c r="B412" s="0" t="s">
        <v>102</v>
      </c>
      <c r="C412" s="0" t="s">
        <v>102</v>
      </c>
      <c r="D412" s="0" t="s">
        <v>234</v>
      </c>
      <c r="E412" s="3" t="s">
        <v>211</v>
      </c>
      <c r="G412" s="8" t="s">
        <v>396</v>
      </c>
      <c r="H412" s="0" t="n">
        <v>13.8</v>
      </c>
      <c r="I412" s="0" t="n">
        <v>4.7</v>
      </c>
      <c r="J412" s="0" t="n">
        <v>2.8</v>
      </c>
      <c r="K412" s="0" t="n">
        <v>0.4</v>
      </c>
      <c r="L412" s="0" t="n">
        <v>0.282</v>
      </c>
      <c r="M412" s="0" t="n">
        <v>0.168</v>
      </c>
      <c r="N412" s="0" t="n">
        <v>0.024</v>
      </c>
      <c r="O412" s="8" t="n">
        <f aca="false">ROUND(I412+L412,2)</f>
        <v>4.98</v>
      </c>
      <c r="P412" s="8" t="n">
        <f aca="false">ROUND(J412+M412,2)</f>
        <v>2.97</v>
      </c>
      <c r="Q412" s="8" t="n">
        <f aca="false">ROUND(K412+N412,2)</f>
        <v>0.42</v>
      </c>
    </row>
    <row r="413" customFormat="false" ht="15" hidden="false" customHeight="false" outlineLevel="0" collapsed="false">
      <c r="A413" s="0" t="s">
        <v>644</v>
      </c>
      <c r="B413" s="0" t="s">
        <v>106</v>
      </c>
      <c r="C413" s="0" t="s">
        <v>106</v>
      </c>
      <c r="D413" s="0" t="s">
        <v>234</v>
      </c>
      <c r="E413" s="3" t="s">
        <v>208</v>
      </c>
      <c r="G413" s="8" t="s">
        <v>235</v>
      </c>
      <c r="H413" s="0" t="n">
        <v>12.9</v>
      </c>
      <c r="I413" s="0" t="n">
        <v>4.6</v>
      </c>
      <c r="J413" s="0" t="n">
        <v>1.9</v>
      </c>
      <c r="K413" s="0" t="n">
        <v>2.2</v>
      </c>
      <c r="L413" s="0" t="n">
        <v>0</v>
      </c>
      <c r="M413" s="0" t="n">
        <v>0</v>
      </c>
      <c r="N413" s="0" t="n">
        <v>0</v>
      </c>
      <c r="O413" s="8" t="n">
        <f aca="false">ROUND(I413+L413,2)</f>
        <v>4.6</v>
      </c>
      <c r="P413" s="8" t="n">
        <f aca="false">ROUND(J413+M413,2)</f>
        <v>1.9</v>
      </c>
      <c r="Q413" s="8" t="n">
        <f aca="false">ROUND(K413+N413,2)</f>
        <v>2.2</v>
      </c>
    </row>
    <row r="414" customFormat="false" ht="15" hidden="false" customHeight="false" outlineLevel="0" collapsed="false">
      <c r="A414" s="0" t="s">
        <v>645</v>
      </c>
      <c r="B414" s="0" t="s">
        <v>98</v>
      </c>
      <c r="C414" s="0" t="s">
        <v>98</v>
      </c>
      <c r="D414" s="0" t="s">
        <v>234</v>
      </c>
      <c r="E414" s="3" t="s">
        <v>208</v>
      </c>
      <c r="G414" s="8" t="s">
        <v>235</v>
      </c>
      <c r="H414" s="0" t="n">
        <v>20.8</v>
      </c>
      <c r="I414" s="0" t="n">
        <v>4.6</v>
      </c>
      <c r="J414" s="0" t="n">
        <v>4</v>
      </c>
      <c r="K414" s="0" t="n">
        <v>3.9</v>
      </c>
      <c r="L414" s="0" t="n">
        <v>0.276</v>
      </c>
      <c r="M414" s="0" t="n">
        <v>0.24</v>
      </c>
      <c r="N414" s="0" t="n">
        <v>0.234</v>
      </c>
      <c r="O414" s="8" t="n">
        <f aca="false">ROUND(I414+L414,2)</f>
        <v>4.88</v>
      </c>
      <c r="P414" s="8" t="n">
        <f aca="false">ROUND(J414+M414,2)</f>
        <v>4.24</v>
      </c>
      <c r="Q414" s="8" t="n">
        <f aca="false">ROUND(K414+N414,2)</f>
        <v>4.13</v>
      </c>
    </row>
    <row r="415" customFormat="false" ht="15" hidden="false" customHeight="false" outlineLevel="0" collapsed="false">
      <c r="A415" s="0" t="s">
        <v>646</v>
      </c>
      <c r="B415" s="0" t="s">
        <v>192</v>
      </c>
      <c r="C415" s="0" t="s">
        <v>192</v>
      </c>
      <c r="D415" s="0" t="s">
        <v>234</v>
      </c>
      <c r="E415" s="3" t="s">
        <v>210</v>
      </c>
      <c r="G415" s="8" t="s">
        <v>396</v>
      </c>
      <c r="H415" s="0" t="n">
        <v>9.8</v>
      </c>
      <c r="I415" s="0" t="n">
        <v>4.6</v>
      </c>
      <c r="J415" s="0" t="n">
        <v>1.6</v>
      </c>
      <c r="K415" s="0" t="n">
        <v>0.8</v>
      </c>
      <c r="L415" s="0" t="n">
        <v>0</v>
      </c>
      <c r="M415" s="0" t="n">
        <v>0</v>
      </c>
      <c r="N415" s="0" t="n">
        <v>0</v>
      </c>
      <c r="O415" s="8" t="n">
        <f aca="false">ROUND(I415+L415,2)</f>
        <v>4.6</v>
      </c>
      <c r="P415" s="8" t="n">
        <f aca="false">ROUND(J415+M415,2)</f>
        <v>1.6</v>
      </c>
      <c r="Q415" s="8" t="n">
        <f aca="false">ROUND(K415+N415,2)</f>
        <v>0.8</v>
      </c>
    </row>
    <row r="416" customFormat="false" ht="15" hidden="false" customHeight="false" outlineLevel="0" collapsed="false">
      <c r="A416" s="0" t="s">
        <v>647</v>
      </c>
      <c r="B416" s="0" t="s">
        <v>146</v>
      </c>
      <c r="C416" s="0" t="s">
        <v>146</v>
      </c>
      <c r="D416" s="0" t="s">
        <v>234</v>
      </c>
      <c r="E416" s="3" t="s">
        <v>208</v>
      </c>
      <c r="G416" s="8" t="s">
        <v>396</v>
      </c>
      <c r="H416" s="0" t="n">
        <v>8.6</v>
      </c>
      <c r="I416" s="0" t="n">
        <v>4.6</v>
      </c>
      <c r="J416" s="0" t="n">
        <v>0.6</v>
      </c>
      <c r="K416" s="0" t="n">
        <v>1.8</v>
      </c>
      <c r="L416" s="0" t="n">
        <v>0</v>
      </c>
      <c r="M416" s="0" t="n">
        <v>0</v>
      </c>
      <c r="N416" s="0" t="n">
        <v>0</v>
      </c>
      <c r="O416" s="8" t="n">
        <f aca="false">ROUND(I416+L416,2)</f>
        <v>4.6</v>
      </c>
      <c r="P416" s="8" t="n">
        <f aca="false">ROUND(J416+M416,2)</f>
        <v>0.6</v>
      </c>
      <c r="Q416" s="8" t="n">
        <f aca="false">ROUND(K416+N416,2)</f>
        <v>1.8</v>
      </c>
    </row>
    <row r="417" customFormat="false" ht="15" hidden="false" customHeight="false" outlineLevel="0" collapsed="false">
      <c r="A417" s="0" t="s">
        <v>648</v>
      </c>
      <c r="B417" s="0" t="s">
        <v>102</v>
      </c>
      <c r="C417" s="0" t="s">
        <v>102</v>
      </c>
      <c r="D417" s="0" t="s">
        <v>234</v>
      </c>
      <c r="E417" s="3" t="s">
        <v>211</v>
      </c>
      <c r="G417" s="8" t="s">
        <v>235</v>
      </c>
      <c r="H417" s="0" t="n">
        <v>16.4</v>
      </c>
      <c r="I417" s="0" t="n">
        <v>4.6</v>
      </c>
      <c r="J417" s="0" t="n">
        <v>4.7</v>
      </c>
      <c r="K417" s="0" t="n">
        <v>0.7</v>
      </c>
      <c r="L417" s="0" t="n">
        <v>0.276</v>
      </c>
      <c r="M417" s="0" t="n">
        <v>0.282</v>
      </c>
      <c r="N417" s="0" t="n">
        <v>0.042</v>
      </c>
      <c r="O417" s="8" t="n">
        <f aca="false">ROUND(I417+L417,2)</f>
        <v>4.88</v>
      </c>
      <c r="P417" s="8" t="n">
        <f aca="false">ROUND(J417+M417,2)</f>
        <v>4.98</v>
      </c>
      <c r="Q417" s="8" t="n">
        <f aca="false">ROUND(K417+N417,2)</f>
        <v>0.74</v>
      </c>
    </row>
    <row r="418" customFormat="false" ht="15" hidden="false" customHeight="false" outlineLevel="0" collapsed="false">
      <c r="A418" s="0" t="s">
        <v>649</v>
      </c>
      <c r="B418" s="0" t="s">
        <v>91</v>
      </c>
      <c r="C418" s="0" t="s">
        <v>91</v>
      </c>
      <c r="D418" s="0" t="s">
        <v>234</v>
      </c>
      <c r="E418" s="3" t="s">
        <v>212</v>
      </c>
      <c r="G418" s="8" t="s">
        <v>235</v>
      </c>
      <c r="H418" s="0" t="n">
        <v>11.3</v>
      </c>
      <c r="I418" s="0" t="n">
        <v>4.5</v>
      </c>
      <c r="J418" s="0" t="n">
        <v>3.9</v>
      </c>
      <c r="K418" s="0" t="n">
        <v>0.5</v>
      </c>
      <c r="L418" s="0" t="n">
        <v>0.27</v>
      </c>
      <c r="M418" s="0" t="n">
        <v>0.225</v>
      </c>
      <c r="N418" s="0" t="n">
        <v>0.03</v>
      </c>
      <c r="O418" s="8" t="n">
        <f aca="false">ROUND(I418+L418,2)</f>
        <v>4.77</v>
      </c>
      <c r="P418" s="8" t="n">
        <f aca="false">ROUND(J418+M418,2)</f>
        <v>4.13</v>
      </c>
      <c r="Q418" s="8" t="n">
        <f aca="false">ROUND(K418+N418,2)</f>
        <v>0.53</v>
      </c>
    </row>
    <row r="419" customFormat="false" ht="15" hidden="false" customHeight="false" outlineLevel="0" collapsed="false">
      <c r="A419" s="0" t="s">
        <v>650</v>
      </c>
      <c r="B419" s="0" t="s">
        <v>102</v>
      </c>
      <c r="C419" s="0" t="s">
        <v>102</v>
      </c>
      <c r="D419" s="0" t="s">
        <v>243</v>
      </c>
      <c r="E419" s="3" t="s">
        <v>212</v>
      </c>
      <c r="G419" s="8" t="s">
        <v>396</v>
      </c>
      <c r="H419" s="0" t="n">
        <v>13.9</v>
      </c>
      <c r="I419" s="0" t="n">
        <v>4.5</v>
      </c>
      <c r="J419" s="0" t="n">
        <v>5.7</v>
      </c>
      <c r="K419" s="0" t="n">
        <v>0.2</v>
      </c>
      <c r="L419" s="0" t="n">
        <v>0.27</v>
      </c>
      <c r="M419" s="0" t="n">
        <v>0.342</v>
      </c>
      <c r="N419" s="0" t="n">
        <v>0.012</v>
      </c>
      <c r="O419" s="8" t="n">
        <f aca="false">ROUND(I419+L419,2)</f>
        <v>4.77</v>
      </c>
      <c r="P419" s="8" t="n">
        <f aca="false">ROUND(J419+M419,2)</f>
        <v>6.04</v>
      </c>
      <c r="Q419" s="8" t="n">
        <f aca="false">ROUND(K419+N419,2)</f>
        <v>0.21</v>
      </c>
    </row>
    <row r="420" customFormat="false" ht="15" hidden="false" customHeight="false" outlineLevel="0" collapsed="false">
      <c r="A420" s="0" t="s">
        <v>651</v>
      </c>
      <c r="B420" s="0" t="s">
        <v>146</v>
      </c>
      <c r="C420" s="0" t="s">
        <v>83</v>
      </c>
      <c r="D420" s="0" t="s">
        <v>239</v>
      </c>
      <c r="E420" s="3" t="s">
        <v>208</v>
      </c>
      <c r="G420" s="8" t="s">
        <v>235</v>
      </c>
      <c r="H420" s="0" t="n">
        <v>18.4</v>
      </c>
      <c r="I420" s="0" t="n">
        <v>4.5</v>
      </c>
      <c r="J420" s="0" t="n">
        <v>1.7</v>
      </c>
      <c r="K420" s="0" t="n">
        <v>2.9</v>
      </c>
      <c r="L420" s="0" t="n">
        <v>0</v>
      </c>
      <c r="M420" s="0" t="n">
        <v>0</v>
      </c>
      <c r="N420" s="0" t="n">
        <v>0</v>
      </c>
      <c r="O420" s="8" t="n">
        <f aca="false">ROUND(I420+L420,2)</f>
        <v>4.5</v>
      </c>
      <c r="P420" s="8" t="n">
        <f aca="false">ROUND(J420+M420,2)</f>
        <v>1.7</v>
      </c>
      <c r="Q420" s="8" t="n">
        <f aca="false">ROUND(K420+N420,2)</f>
        <v>2.9</v>
      </c>
    </row>
    <row r="421" customFormat="false" ht="15" hidden="false" customHeight="false" outlineLevel="0" collapsed="false">
      <c r="A421" s="0" t="s">
        <v>652</v>
      </c>
      <c r="B421" s="0" t="s">
        <v>118</v>
      </c>
      <c r="C421" s="0" t="s">
        <v>188</v>
      </c>
      <c r="D421" s="0" t="s">
        <v>239</v>
      </c>
      <c r="E421" s="3" t="s">
        <v>209</v>
      </c>
      <c r="F421" s="8" t="s">
        <v>210</v>
      </c>
      <c r="G421" s="8" t="s">
        <v>235</v>
      </c>
      <c r="H421" s="0" t="n">
        <v>17.4</v>
      </c>
      <c r="I421" s="0" t="n">
        <v>4.5</v>
      </c>
      <c r="J421" s="0" t="n">
        <v>2.6</v>
      </c>
      <c r="K421" s="0" t="n">
        <v>0.9</v>
      </c>
      <c r="L421" s="0" t="n">
        <v>0</v>
      </c>
      <c r="M421" s="0" t="n">
        <v>0</v>
      </c>
      <c r="N421" s="0" t="n">
        <v>0</v>
      </c>
      <c r="O421" s="8" t="n">
        <f aca="false">ROUND(I421+L421,2)</f>
        <v>4.5</v>
      </c>
      <c r="P421" s="8" t="n">
        <f aca="false">ROUND(J421+M421,2)</f>
        <v>2.6</v>
      </c>
      <c r="Q421" s="8" t="n">
        <f aca="false">ROUND(K421+N421,2)</f>
        <v>0.9</v>
      </c>
    </row>
    <row r="422" customFormat="false" ht="15" hidden="false" customHeight="false" outlineLevel="0" collapsed="false">
      <c r="A422" s="0" t="s">
        <v>653</v>
      </c>
      <c r="B422" s="0" t="s">
        <v>122</v>
      </c>
      <c r="C422" s="0" t="s">
        <v>122</v>
      </c>
      <c r="D422" s="0" t="s">
        <v>234</v>
      </c>
      <c r="E422" s="3" t="s">
        <v>210</v>
      </c>
      <c r="G422" s="8" t="s">
        <v>396</v>
      </c>
      <c r="H422" s="0" t="n">
        <v>12.9</v>
      </c>
      <c r="I422" s="0" t="n">
        <v>4.5</v>
      </c>
      <c r="J422" s="0" t="n">
        <v>1.6</v>
      </c>
      <c r="K422" s="0" t="n">
        <v>1.1</v>
      </c>
      <c r="L422" s="0" t="n">
        <v>0.27</v>
      </c>
      <c r="M422" s="0" t="n">
        <v>0.096</v>
      </c>
      <c r="N422" s="0" t="n">
        <v>0.066</v>
      </c>
      <c r="O422" s="8" t="n">
        <f aca="false">ROUND(I422+L422,2)</f>
        <v>4.77</v>
      </c>
      <c r="P422" s="8" t="n">
        <f aca="false">ROUND(J422+M422,2)</f>
        <v>1.7</v>
      </c>
      <c r="Q422" s="8" t="n">
        <f aca="false">ROUND(K422+N422,2)</f>
        <v>1.17</v>
      </c>
    </row>
    <row r="423" customFormat="false" ht="15" hidden="false" customHeight="false" outlineLevel="0" collapsed="false">
      <c r="A423" s="0" t="s">
        <v>654</v>
      </c>
      <c r="B423" s="0" t="s">
        <v>98</v>
      </c>
      <c r="C423" s="0" t="s">
        <v>98</v>
      </c>
      <c r="D423" s="0" t="s">
        <v>234</v>
      </c>
      <c r="E423" s="3" t="s">
        <v>208</v>
      </c>
      <c r="G423" s="8" t="s">
        <v>235</v>
      </c>
      <c r="H423" s="0" t="n">
        <v>17.9</v>
      </c>
      <c r="I423" s="0" t="n">
        <v>4.5</v>
      </c>
      <c r="J423" s="0" t="n">
        <v>3.4</v>
      </c>
      <c r="K423" s="0" t="n">
        <v>3.2</v>
      </c>
      <c r="L423" s="0" t="n">
        <v>0.27</v>
      </c>
      <c r="M423" s="0" t="n">
        <v>0.204</v>
      </c>
      <c r="N423" s="0" t="n">
        <v>0.192</v>
      </c>
      <c r="O423" s="8" t="n">
        <f aca="false">ROUND(I423+L423,2)</f>
        <v>4.77</v>
      </c>
      <c r="P423" s="8" t="n">
        <f aca="false">ROUND(J423+M423,2)</f>
        <v>3.6</v>
      </c>
      <c r="Q423" s="8" t="n">
        <f aca="false">ROUND(K423+N423,2)</f>
        <v>3.39</v>
      </c>
    </row>
    <row r="424" customFormat="false" ht="15" hidden="false" customHeight="false" outlineLevel="0" collapsed="false">
      <c r="A424" s="0" t="s">
        <v>655</v>
      </c>
      <c r="B424" s="0" t="s">
        <v>188</v>
      </c>
      <c r="C424" s="0" t="s">
        <v>656</v>
      </c>
      <c r="D424" s="0" t="s">
        <v>657</v>
      </c>
      <c r="E424" s="3" t="s">
        <v>209</v>
      </c>
      <c r="G424" s="8" t="s">
        <v>235</v>
      </c>
      <c r="H424" s="0" t="n">
        <v>19.9</v>
      </c>
      <c r="I424" s="0" t="n">
        <v>4.4</v>
      </c>
      <c r="J424" s="0" t="n">
        <v>4.3</v>
      </c>
      <c r="K424" s="0" t="n">
        <v>2.1</v>
      </c>
      <c r="L424" s="0" t="n">
        <v>0</v>
      </c>
      <c r="M424" s="0" t="n">
        <v>0</v>
      </c>
      <c r="N424" s="0" t="n">
        <v>0</v>
      </c>
      <c r="O424" s="8" t="n">
        <f aca="false">ROUND(I424+L424,2)</f>
        <v>4.4</v>
      </c>
      <c r="P424" s="8" t="n">
        <f aca="false">ROUND(J424+M424,2)</f>
        <v>4.3</v>
      </c>
      <c r="Q424" s="8" t="n">
        <f aca="false">ROUND(K424+N424,2)</f>
        <v>2.1</v>
      </c>
    </row>
    <row r="425" customFormat="false" ht="15" hidden="false" customHeight="false" outlineLevel="0" collapsed="false">
      <c r="A425" s="0" t="s">
        <v>658</v>
      </c>
      <c r="B425" s="0" t="s">
        <v>79</v>
      </c>
      <c r="C425" s="0" t="s">
        <v>79</v>
      </c>
      <c r="D425" s="0" t="s">
        <v>234</v>
      </c>
      <c r="E425" s="3" t="s">
        <v>208</v>
      </c>
      <c r="G425" s="8" t="s">
        <v>396</v>
      </c>
      <c r="H425" s="0" t="n">
        <v>12.1</v>
      </c>
      <c r="I425" s="0" t="n">
        <v>4.4</v>
      </c>
      <c r="J425" s="0" t="n">
        <v>1.5</v>
      </c>
      <c r="K425" s="0" t="n">
        <v>1.9</v>
      </c>
      <c r="L425" s="0" t="n">
        <v>0.264</v>
      </c>
      <c r="M425" s="0" t="n">
        <v>0.09</v>
      </c>
      <c r="N425" s="0" t="n">
        <v>0.114</v>
      </c>
      <c r="O425" s="8" t="n">
        <f aca="false">ROUND(I425+L425,2)</f>
        <v>4.66</v>
      </c>
      <c r="P425" s="8" t="n">
        <f aca="false">ROUND(J425+M425,2)</f>
        <v>1.59</v>
      </c>
      <c r="Q425" s="8" t="n">
        <f aca="false">ROUND(K425+N425,2)</f>
        <v>2.01</v>
      </c>
    </row>
    <row r="426" customFormat="false" ht="15" hidden="false" customHeight="false" outlineLevel="0" collapsed="false">
      <c r="A426" s="0" t="s">
        <v>659</v>
      </c>
      <c r="B426" s="0" t="s">
        <v>79</v>
      </c>
      <c r="C426" s="0" t="s">
        <v>79</v>
      </c>
      <c r="D426" s="0" t="s">
        <v>234</v>
      </c>
      <c r="E426" s="3" t="s">
        <v>208</v>
      </c>
      <c r="G426" s="8" t="s">
        <v>235</v>
      </c>
      <c r="H426" s="0" t="n">
        <v>16.6</v>
      </c>
      <c r="I426" s="0" t="n">
        <v>4.4</v>
      </c>
      <c r="J426" s="0" t="n">
        <v>1</v>
      </c>
      <c r="K426" s="0" t="n">
        <v>1.4</v>
      </c>
      <c r="L426" s="0" t="n">
        <v>0.264</v>
      </c>
      <c r="M426" s="0" t="n">
        <v>0.06</v>
      </c>
      <c r="N426" s="0" t="n">
        <v>0.084</v>
      </c>
      <c r="O426" s="8" t="n">
        <f aca="false">ROUND(I426+L426,2)</f>
        <v>4.66</v>
      </c>
      <c r="P426" s="8" t="n">
        <f aca="false">ROUND(J426+M426,2)</f>
        <v>1.06</v>
      </c>
      <c r="Q426" s="8" t="n">
        <f aca="false">ROUND(K426+N426,2)</f>
        <v>1.48</v>
      </c>
    </row>
    <row r="427" customFormat="false" ht="15" hidden="false" customHeight="false" outlineLevel="0" collapsed="false">
      <c r="A427" s="0" t="s">
        <v>660</v>
      </c>
      <c r="B427" s="0" t="s">
        <v>79</v>
      </c>
      <c r="C427" s="0" t="s">
        <v>79</v>
      </c>
      <c r="D427" s="0" t="s">
        <v>234</v>
      </c>
      <c r="E427" s="3" t="s">
        <v>211</v>
      </c>
      <c r="G427" s="8" t="s">
        <v>235</v>
      </c>
      <c r="H427" s="0" t="n">
        <v>15.3</v>
      </c>
      <c r="I427" s="0" t="n">
        <v>4.4</v>
      </c>
      <c r="J427" s="0" t="n">
        <v>3.6</v>
      </c>
      <c r="K427" s="0" t="n">
        <v>0.9</v>
      </c>
      <c r="L427" s="0" t="n">
        <v>0.264</v>
      </c>
      <c r="M427" s="0" t="n">
        <v>0.216</v>
      </c>
      <c r="N427" s="0" t="n">
        <v>0.054</v>
      </c>
      <c r="O427" s="8" t="n">
        <f aca="false">ROUND(I427+L427,2)</f>
        <v>4.66</v>
      </c>
      <c r="P427" s="8" t="n">
        <f aca="false">ROUND(J427+M427,2)</f>
        <v>3.82</v>
      </c>
      <c r="Q427" s="8" t="n">
        <f aca="false">ROUND(K427+N427,2)</f>
        <v>0.95</v>
      </c>
    </row>
    <row r="428" customFormat="false" ht="15" hidden="false" customHeight="false" outlineLevel="0" collapsed="false">
      <c r="A428" s="0" t="s">
        <v>661</v>
      </c>
      <c r="B428" s="0" t="s">
        <v>122</v>
      </c>
      <c r="C428" s="0" t="s">
        <v>94</v>
      </c>
      <c r="D428" s="0" t="s">
        <v>239</v>
      </c>
      <c r="E428" s="3" t="s">
        <v>209</v>
      </c>
      <c r="G428" s="8" t="s">
        <v>235</v>
      </c>
      <c r="H428" s="0" t="n">
        <v>16.6</v>
      </c>
      <c r="I428" s="0" t="n">
        <v>4.4</v>
      </c>
      <c r="J428" s="0" t="n">
        <v>1.6</v>
      </c>
      <c r="K428" s="0" t="n">
        <v>3.2</v>
      </c>
      <c r="L428" s="0" t="n">
        <v>0</v>
      </c>
      <c r="M428" s="0" t="n">
        <v>0</v>
      </c>
      <c r="N428" s="0" t="n">
        <v>0</v>
      </c>
      <c r="O428" s="8" t="n">
        <f aca="false">ROUND(I428+L428,2)</f>
        <v>4.4</v>
      </c>
      <c r="P428" s="8" t="n">
        <f aca="false">ROUND(J428+M428,2)</f>
        <v>1.6</v>
      </c>
      <c r="Q428" s="8" t="n">
        <f aca="false">ROUND(K428+N428,2)</f>
        <v>3.2</v>
      </c>
    </row>
    <row r="429" customFormat="false" ht="15" hidden="false" customHeight="false" outlineLevel="0" collapsed="false">
      <c r="A429" s="0" t="s">
        <v>662</v>
      </c>
      <c r="B429" s="0" t="s">
        <v>150</v>
      </c>
      <c r="C429" s="0" t="s">
        <v>150</v>
      </c>
      <c r="D429" s="0" t="s">
        <v>243</v>
      </c>
      <c r="E429" s="3" t="s">
        <v>212</v>
      </c>
      <c r="G429" s="8" t="s">
        <v>235</v>
      </c>
      <c r="H429" s="0" t="n">
        <v>16.6</v>
      </c>
      <c r="I429" s="0" t="n">
        <v>4.4</v>
      </c>
      <c r="J429" s="0" t="n">
        <v>6.3</v>
      </c>
      <c r="K429" s="0" t="n">
        <v>0.9</v>
      </c>
      <c r="L429" s="0" t="n">
        <v>0.082</v>
      </c>
      <c r="M429" s="0" t="n">
        <v>0.312</v>
      </c>
      <c r="N429" s="0" t="n">
        <v>0.047</v>
      </c>
      <c r="O429" s="8" t="n">
        <f aca="false">ROUND(I429+L429,2)</f>
        <v>4.48</v>
      </c>
      <c r="P429" s="8" t="n">
        <f aca="false">ROUND(J429+M429,2)</f>
        <v>6.61</v>
      </c>
      <c r="Q429" s="8" t="n">
        <f aca="false">ROUND(K429+N429,2)</f>
        <v>0.95</v>
      </c>
    </row>
    <row r="430" customFormat="false" ht="15" hidden="false" customHeight="false" outlineLevel="0" collapsed="false">
      <c r="A430" s="0" t="s">
        <v>663</v>
      </c>
      <c r="B430" s="0" t="s">
        <v>154</v>
      </c>
      <c r="C430" s="0" t="s">
        <v>154</v>
      </c>
      <c r="D430" s="0" t="s">
        <v>234</v>
      </c>
      <c r="E430" s="3" t="s">
        <v>208</v>
      </c>
      <c r="G430" s="8" t="s">
        <v>396</v>
      </c>
      <c r="H430" s="0" t="n">
        <v>11.7</v>
      </c>
      <c r="I430" s="0" t="n">
        <v>4.4</v>
      </c>
      <c r="J430" s="0" t="n">
        <v>1.6</v>
      </c>
      <c r="K430" s="0" t="n">
        <v>2.7</v>
      </c>
      <c r="L430" s="0" t="n">
        <v>0.049</v>
      </c>
      <c r="M430" s="0" t="n">
        <v>0.096</v>
      </c>
      <c r="N430" s="0" t="n">
        <v>0.007</v>
      </c>
      <c r="O430" s="8" t="n">
        <f aca="false">ROUND(I430+L430,2)</f>
        <v>4.45</v>
      </c>
      <c r="P430" s="8" t="n">
        <f aca="false">ROUND(J430+M430,2)</f>
        <v>1.7</v>
      </c>
      <c r="Q430" s="8" t="n">
        <f aca="false">ROUND(K430+N430,2)</f>
        <v>2.71</v>
      </c>
    </row>
    <row r="431" customFormat="false" ht="15" hidden="false" customHeight="false" outlineLevel="0" collapsed="false">
      <c r="A431" s="0" t="s">
        <v>664</v>
      </c>
      <c r="B431" s="0" t="s">
        <v>161</v>
      </c>
      <c r="C431" s="0" t="s">
        <v>161</v>
      </c>
      <c r="D431" s="0" t="s">
        <v>234</v>
      </c>
      <c r="E431" s="3" t="s">
        <v>209</v>
      </c>
      <c r="G431" s="8" t="s">
        <v>396</v>
      </c>
      <c r="H431" s="0" t="n">
        <v>10.9</v>
      </c>
      <c r="I431" s="0" t="n">
        <v>4.4</v>
      </c>
      <c r="J431" s="0" t="n">
        <v>1.2</v>
      </c>
      <c r="K431" s="0" t="n">
        <v>1.1</v>
      </c>
      <c r="L431" s="0" t="n">
        <v>0.016</v>
      </c>
      <c r="M431" s="0" t="n">
        <v>-0.01</v>
      </c>
      <c r="N431" s="0" t="n">
        <v>0.027</v>
      </c>
      <c r="O431" s="8" t="n">
        <f aca="false">ROUND(I431+L431,2)</f>
        <v>4.42</v>
      </c>
      <c r="P431" s="8" t="n">
        <f aca="false">ROUND(J431+M431,2)</f>
        <v>1.19</v>
      </c>
      <c r="Q431" s="8" t="n">
        <f aca="false">ROUND(K431+N431,2)</f>
        <v>1.13</v>
      </c>
    </row>
    <row r="432" customFormat="false" ht="15" hidden="false" customHeight="false" outlineLevel="0" collapsed="false">
      <c r="A432" s="0" t="s">
        <v>665</v>
      </c>
      <c r="B432" s="0" t="s">
        <v>130</v>
      </c>
      <c r="C432" s="0" t="s">
        <v>130</v>
      </c>
      <c r="D432" s="0" t="s">
        <v>234</v>
      </c>
      <c r="E432" s="3" t="s">
        <v>211</v>
      </c>
      <c r="G432" s="8" t="s">
        <v>235</v>
      </c>
      <c r="H432" s="0" t="n">
        <v>17.4</v>
      </c>
      <c r="I432" s="0" t="n">
        <v>4.4</v>
      </c>
      <c r="J432" s="0" t="n">
        <v>4.5</v>
      </c>
      <c r="K432" s="0" t="n">
        <v>1.3</v>
      </c>
      <c r="L432" s="0" t="n">
        <v>0.264</v>
      </c>
      <c r="M432" s="0" t="n">
        <v>0.27</v>
      </c>
      <c r="N432" s="0" t="n">
        <v>0.078</v>
      </c>
      <c r="O432" s="8" t="n">
        <f aca="false">ROUND(I432+L432,2)</f>
        <v>4.66</v>
      </c>
      <c r="P432" s="8" t="n">
        <f aca="false">ROUND(J432+M432,2)</f>
        <v>4.77</v>
      </c>
      <c r="Q432" s="8" t="n">
        <f aca="false">ROUND(K432+N432,2)</f>
        <v>1.38</v>
      </c>
    </row>
    <row r="433" customFormat="false" ht="15" hidden="false" customHeight="false" outlineLevel="0" collapsed="false">
      <c r="A433" s="0" t="s">
        <v>666</v>
      </c>
      <c r="B433" s="0" t="s">
        <v>79</v>
      </c>
      <c r="C433" s="0" t="s">
        <v>79</v>
      </c>
      <c r="D433" s="0" t="s">
        <v>234</v>
      </c>
      <c r="E433" s="3" t="s">
        <v>208</v>
      </c>
      <c r="G433" s="8" t="s">
        <v>235</v>
      </c>
      <c r="H433" s="0" t="n">
        <v>18.5</v>
      </c>
      <c r="I433" s="0" t="n">
        <v>4.3</v>
      </c>
      <c r="J433" s="0" t="n">
        <v>1.3</v>
      </c>
      <c r="K433" s="0" t="n">
        <v>3</v>
      </c>
      <c r="L433" s="0" t="n">
        <v>0.258</v>
      </c>
      <c r="M433" s="0" t="n">
        <v>0.078</v>
      </c>
      <c r="N433" s="0" t="n">
        <v>0.18</v>
      </c>
      <c r="O433" s="8" t="n">
        <f aca="false">ROUND(I433+L433,2)</f>
        <v>4.56</v>
      </c>
      <c r="P433" s="8" t="n">
        <f aca="false">ROUND(J433+M433,2)</f>
        <v>1.38</v>
      </c>
      <c r="Q433" s="8" t="n">
        <f aca="false">ROUND(K433+N433,2)</f>
        <v>3.18</v>
      </c>
    </row>
    <row r="434" customFormat="false" ht="15" hidden="false" customHeight="false" outlineLevel="0" collapsed="false">
      <c r="A434" s="0" t="s">
        <v>667</v>
      </c>
      <c r="B434" s="0" t="s">
        <v>169</v>
      </c>
      <c r="C434" s="0" t="s">
        <v>169</v>
      </c>
      <c r="D434" s="0" t="s">
        <v>234</v>
      </c>
      <c r="E434" s="3" t="s">
        <v>210</v>
      </c>
      <c r="G434" s="8" t="s">
        <v>396</v>
      </c>
      <c r="H434" s="0" t="n">
        <v>12.2</v>
      </c>
      <c r="I434" s="0" t="n">
        <v>4.3</v>
      </c>
      <c r="J434" s="0" t="n">
        <v>2.3</v>
      </c>
      <c r="K434" s="0" t="n">
        <v>0.3</v>
      </c>
      <c r="L434" s="0" t="n">
        <v>0.203</v>
      </c>
      <c r="M434" s="0" t="n">
        <v>0.071</v>
      </c>
      <c r="N434" s="0" t="n">
        <v>0.018</v>
      </c>
      <c r="O434" s="8" t="n">
        <f aca="false">ROUND(I434+L434,2)</f>
        <v>4.5</v>
      </c>
      <c r="P434" s="8" t="n">
        <f aca="false">ROUND(J434+M434,2)</f>
        <v>2.37</v>
      </c>
      <c r="Q434" s="8" t="n">
        <f aca="false">ROUND(K434+N434,2)</f>
        <v>0.32</v>
      </c>
    </row>
    <row r="435" customFormat="false" ht="15" hidden="false" customHeight="false" outlineLevel="0" collapsed="false">
      <c r="A435" s="0" t="s">
        <v>668</v>
      </c>
      <c r="B435" s="0" t="s">
        <v>91</v>
      </c>
      <c r="C435" s="0" t="s">
        <v>188</v>
      </c>
      <c r="D435" s="0" t="s">
        <v>239</v>
      </c>
      <c r="E435" s="3" t="s">
        <v>209</v>
      </c>
      <c r="F435" s="8" t="s">
        <v>210</v>
      </c>
      <c r="G435" s="8" t="s">
        <v>235</v>
      </c>
      <c r="H435" s="0" t="n">
        <v>15.7</v>
      </c>
      <c r="I435" s="0" t="n">
        <v>4.3</v>
      </c>
      <c r="J435" s="0" t="n">
        <v>1.8</v>
      </c>
      <c r="K435" s="0" t="n">
        <v>0.8</v>
      </c>
      <c r="L435" s="0" t="n">
        <v>0</v>
      </c>
      <c r="M435" s="0" t="n">
        <v>0</v>
      </c>
      <c r="N435" s="0" t="n">
        <v>0</v>
      </c>
      <c r="O435" s="8" t="n">
        <f aca="false">ROUND(I435+L435,2)</f>
        <v>4.3</v>
      </c>
      <c r="P435" s="8" t="n">
        <f aca="false">ROUND(J435+M435,2)</f>
        <v>1.8</v>
      </c>
      <c r="Q435" s="8" t="n">
        <f aca="false">ROUND(K435+N435,2)</f>
        <v>0.8</v>
      </c>
    </row>
    <row r="436" customFormat="false" ht="15" hidden="false" customHeight="false" outlineLevel="0" collapsed="false">
      <c r="A436" s="0" t="s">
        <v>669</v>
      </c>
      <c r="B436" s="0" t="s">
        <v>138</v>
      </c>
      <c r="C436" s="0" t="s">
        <v>138</v>
      </c>
      <c r="D436" s="0" t="s">
        <v>234</v>
      </c>
      <c r="E436" s="3" t="s">
        <v>211</v>
      </c>
      <c r="G436" s="8" t="s">
        <v>396</v>
      </c>
      <c r="H436" s="0" t="n">
        <v>8.8</v>
      </c>
      <c r="I436" s="0" t="n">
        <v>4.3</v>
      </c>
      <c r="J436" s="0" t="n">
        <v>1.9</v>
      </c>
      <c r="K436" s="0" t="n">
        <v>0.3</v>
      </c>
      <c r="L436" s="0" t="n">
        <v>0</v>
      </c>
      <c r="M436" s="0" t="n">
        <v>0</v>
      </c>
      <c r="N436" s="0" t="n">
        <v>0</v>
      </c>
      <c r="O436" s="8" t="n">
        <f aca="false">ROUND(I436+L436,2)</f>
        <v>4.3</v>
      </c>
      <c r="P436" s="8" t="n">
        <f aca="false">ROUND(J436+M436,2)</f>
        <v>1.9</v>
      </c>
      <c r="Q436" s="8" t="n">
        <f aca="false">ROUND(K436+N436,2)</f>
        <v>0.3</v>
      </c>
    </row>
    <row r="437" customFormat="false" ht="15" hidden="false" customHeight="false" outlineLevel="0" collapsed="false">
      <c r="A437" s="0" t="s">
        <v>670</v>
      </c>
      <c r="B437" s="0" t="s">
        <v>126</v>
      </c>
      <c r="C437" s="0" t="s">
        <v>126</v>
      </c>
      <c r="D437" s="0" t="s">
        <v>234</v>
      </c>
      <c r="E437" s="3" t="s">
        <v>212</v>
      </c>
      <c r="G437" s="8" t="s">
        <v>396</v>
      </c>
      <c r="H437" s="0" t="n">
        <v>10.3</v>
      </c>
      <c r="I437" s="0" t="n">
        <v>4.3</v>
      </c>
      <c r="J437" s="0" t="n">
        <v>2.9</v>
      </c>
      <c r="K437" s="0" t="n">
        <v>0.3</v>
      </c>
      <c r="L437" s="0" t="n">
        <v>0.258</v>
      </c>
      <c r="M437" s="0" t="n">
        <v>0.174</v>
      </c>
      <c r="N437" s="0" t="n">
        <v>0.018</v>
      </c>
      <c r="O437" s="8" t="n">
        <f aca="false">ROUND(I437+L437,2)</f>
        <v>4.56</v>
      </c>
      <c r="P437" s="8" t="n">
        <f aca="false">ROUND(J437+M437,2)</f>
        <v>3.07</v>
      </c>
      <c r="Q437" s="8" t="n">
        <f aca="false">ROUND(K437+N437,2)</f>
        <v>0.32</v>
      </c>
    </row>
    <row r="438" customFormat="false" ht="15" hidden="false" customHeight="false" outlineLevel="0" collapsed="false">
      <c r="A438" s="0" t="s">
        <v>671</v>
      </c>
      <c r="B438" s="0" t="s">
        <v>192</v>
      </c>
      <c r="C438" s="0" t="s">
        <v>192</v>
      </c>
      <c r="D438" s="0" t="s">
        <v>234</v>
      </c>
      <c r="E438" s="3" t="s">
        <v>211</v>
      </c>
      <c r="G438" s="8" t="s">
        <v>396</v>
      </c>
      <c r="H438" s="0" t="n">
        <v>12.7</v>
      </c>
      <c r="I438" s="0" t="n">
        <v>4.3</v>
      </c>
      <c r="J438" s="0" t="n">
        <v>3</v>
      </c>
      <c r="K438" s="0" t="n">
        <v>1</v>
      </c>
      <c r="L438" s="0" t="n">
        <v>0.258</v>
      </c>
      <c r="M438" s="0" t="n">
        <v>0.18</v>
      </c>
      <c r="N438" s="0" t="n">
        <v>0.06</v>
      </c>
      <c r="O438" s="8" t="n">
        <f aca="false">ROUND(I438+L438,2)</f>
        <v>4.56</v>
      </c>
      <c r="P438" s="8" t="n">
        <f aca="false">ROUND(J438+M438,2)</f>
        <v>3.18</v>
      </c>
      <c r="Q438" s="8" t="n">
        <f aca="false">ROUND(K438+N438,2)</f>
        <v>1.06</v>
      </c>
    </row>
    <row r="439" customFormat="false" ht="15" hidden="false" customHeight="false" outlineLevel="0" collapsed="false">
      <c r="A439" s="0" t="s">
        <v>672</v>
      </c>
      <c r="B439" s="0" t="s">
        <v>102</v>
      </c>
      <c r="C439" s="0" t="s">
        <v>102</v>
      </c>
      <c r="D439" s="0" t="s">
        <v>234</v>
      </c>
      <c r="E439" s="3" t="s">
        <v>212</v>
      </c>
      <c r="G439" s="8" t="s">
        <v>235</v>
      </c>
      <c r="H439" s="0" t="n">
        <v>16.4</v>
      </c>
      <c r="I439" s="0" t="n">
        <v>4.3</v>
      </c>
      <c r="J439" s="0" t="n">
        <v>5.3</v>
      </c>
      <c r="K439" s="0" t="n">
        <v>1.9</v>
      </c>
      <c r="L439" s="0" t="n">
        <v>0.258</v>
      </c>
      <c r="M439" s="0" t="n">
        <v>0.318</v>
      </c>
      <c r="N439" s="0" t="n">
        <v>0.114</v>
      </c>
      <c r="O439" s="8" t="n">
        <f aca="false">ROUND(I439+L439,2)</f>
        <v>4.56</v>
      </c>
      <c r="P439" s="8" t="n">
        <f aca="false">ROUND(J439+M439,2)</f>
        <v>5.62</v>
      </c>
      <c r="Q439" s="8" t="n">
        <f aca="false">ROUND(K439+N439,2)</f>
        <v>2.01</v>
      </c>
    </row>
    <row r="440" customFormat="false" ht="15" hidden="false" customHeight="false" outlineLevel="0" collapsed="false">
      <c r="A440" s="0" t="s">
        <v>673</v>
      </c>
      <c r="B440" s="0" t="s">
        <v>91</v>
      </c>
      <c r="C440" s="0" t="s">
        <v>91</v>
      </c>
      <c r="D440" s="0" t="s">
        <v>234</v>
      </c>
      <c r="E440" s="3" t="s">
        <v>211</v>
      </c>
      <c r="G440" s="8" t="s">
        <v>396</v>
      </c>
      <c r="H440" s="0" t="n">
        <v>11.9</v>
      </c>
      <c r="I440" s="0" t="n">
        <v>4.3</v>
      </c>
      <c r="J440" s="0" t="n">
        <v>2.4</v>
      </c>
      <c r="K440" s="0" t="n">
        <v>0.8</v>
      </c>
      <c r="L440" s="0" t="n">
        <v>0.258</v>
      </c>
      <c r="M440" s="0" t="n">
        <v>0.136</v>
      </c>
      <c r="N440" s="0" t="n">
        <v>0.048</v>
      </c>
      <c r="O440" s="8" t="n">
        <f aca="false">ROUND(I440+L440,2)</f>
        <v>4.56</v>
      </c>
      <c r="P440" s="8" t="n">
        <f aca="false">ROUND(J440+M440,2)</f>
        <v>2.54</v>
      </c>
      <c r="Q440" s="8" t="n">
        <f aca="false">ROUND(K440+N440,2)</f>
        <v>0.85</v>
      </c>
    </row>
    <row r="441" customFormat="false" ht="15" hidden="false" customHeight="false" outlineLevel="0" collapsed="false">
      <c r="A441" s="0" t="s">
        <v>674</v>
      </c>
      <c r="B441" s="0" t="s">
        <v>87</v>
      </c>
      <c r="C441" s="0" t="s">
        <v>87</v>
      </c>
      <c r="D441" s="0" t="s">
        <v>234</v>
      </c>
      <c r="E441" s="3" t="s">
        <v>210</v>
      </c>
      <c r="G441" s="8" t="s">
        <v>396</v>
      </c>
      <c r="H441" s="0" t="n">
        <v>8.8</v>
      </c>
      <c r="I441" s="0" t="n">
        <v>4.3</v>
      </c>
      <c r="J441" s="0" t="n">
        <v>1.5</v>
      </c>
      <c r="K441" s="0" t="n">
        <v>1.3</v>
      </c>
      <c r="L441" s="0" t="n">
        <v>0</v>
      </c>
      <c r="M441" s="0" t="n">
        <v>0</v>
      </c>
      <c r="N441" s="0" t="n">
        <v>0</v>
      </c>
      <c r="O441" s="8" t="n">
        <f aca="false">ROUND(I441+L441,2)</f>
        <v>4.3</v>
      </c>
      <c r="P441" s="8" t="n">
        <f aca="false">ROUND(J441+M441,2)</f>
        <v>1.5</v>
      </c>
      <c r="Q441" s="8" t="n">
        <f aca="false">ROUND(K441+N441,2)</f>
        <v>1.3</v>
      </c>
    </row>
    <row r="442" customFormat="false" ht="15" hidden="false" customHeight="false" outlineLevel="0" collapsed="false">
      <c r="A442" s="0" t="s">
        <v>675</v>
      </c>
      <c r="B442" s="0" t="s">
        <v>150</v>
      </c>
      <c r="C442" s="0" t="s">
        <v>134</v>
      </c>
      <c r="D442" s="0" t="s">
        <v>239</v>
      </c>
      <c r="E442" s="3" t="s">
        <v>210</v>
      </c>
      <c r="G442" s="8" t="s">
        <v>235</v>
      </c>
      <c r="H442" s="0" t="n">
        <v>15</v>
      </c>
      <c r="I442" s="0" t="n">
        <v>4.3</v>
      </c>
      <c r="J442" s="0" t="n">
        <v>1.9</v>
      </c>
      <c r="K442" s="0" t="n">
        <v>1</v>
      </c>
      <c r="L442" s="0" t="n">
        <v>0</v>
      </c>
      <c r="M442" s="0" t="n">
        <v>0</v>
      </c>
      <c r="N442" s="0" t="n">
        <v>0</v>
      </c>
      <c r="O442" s="8" t="n">
        <f aca="false">ROUND(I442+L442,2)</f>
        <v>4.3</v>
      </c>
      <c r="P442" s="8" t="n">
        <f aca="false">ROUND(J442+M442,2)</f>
        <v>1.9</v>
      </c>
      <c r="Q442" s="8" t="n">
        <f aca="false">ROUND(K442+N442,2)</f>
        <v>1</v>
      </c>
    </row>
    <row r="443" customFormat="false" ht="15" hidden="false" customHeight="false" outlineLevel="0" collapsed="false">
      <c r="A443" s="0" t="s">
        <v>676</v>
      </c>
      <c r="B443" s="0" t="s">
        <v>165</v>
      </c>
      <c r="C443" s="0" t="s">
        <v>165</v>
      </c>
      <c r="D443" s="0" t="s">
        <v>234</v>
      </c>
      <c r="E443" s="3" t="s">
        <v>212</v>
      </c>
      <c r="G443" s="8" t="s">
        <v>396</v>
      </c>
      <c r="H443" s="0" t="n">
        <v>11.9</v>
      </c>
      <c r="I443" s="0" t="n">
        <v>4.3</v>
      </c>
      <c r="J443" s="0" t="n">
        <v>3</v>
      </c>
      <c r="K443" s="0" t="n">
        <v>0.5</v>
      </c>
      <c r="L443" s="0" t="n">
        <v>0.258</v>
      </c>
      <c r="M443" s="0" t="n">
        <v>0.18</v>
      </c>
      <c r="N443" s="0" t="n">
        <v>0.03</v>
      </c>
      <c r="O443" s="8" t="n">
        <f aca="false">ROUND(I443+L443,2)</f>
        <v>4.56</v>
      </c>
      <c r="P443" s="8" t="n">
        <f aca="false">ROUND(J443+M443,2)</f>
        <v>3.18</v>
      </c>
      <c r="Q443" s="8" t="n">
        <f aca="false">ROUND(K443+N443,2)</f>
        <v>0.53</v>
      </c>
    </row>
    <row r="444" customFormat="false" ht="15" hidden="false" customHeight="false" outlineLevel="0" collapsed="false">
      <c r="A444" s="0" t="s">
        <v>677</v>
      </c>
      <c r="B444" s="0" t="s">
        <v>180</v>
      </c>
      <c r="C444" s="0" t="s">
        <v>180</v>
      </c>
      <c r="D444" s="0" t="s">
        <v>234</v>
      </c>
      <c r="E444" s="3" t="s">
        <v>211</v>
      </c>
      <c r="G444" s="8" t="s">
        <v>396</v>
      </c>
      <c r="H444" s="0" t="n">
        <v>11.5</v>
      </c>
      <c r="I444" s="0" t="n">
        <v>4.2</v>
      </c>
      <c r="J444" s="0" t="n">
        <v>2.5</v>
      </c>
      <c r="K444" s="0" t="n">
        <v>0.7</v>
      </c>
      <c r="L444" s="0" t="n">
        <v>-0.083</v>
      </c>
      <c r="M444" s="0" t="n">
        <v>-0.014</v>
      </c>
      <c r="N444" s="0" t="n">
        <v>-0.008</v>
      </c>
      <c r="O444" s="8" t="n">
        <f aca="false">ROUND(I444+L444,2)</f>
        <v>4.12</v>
      </c>
      <c r="P444" s="8" t="n">
        <f aca="false">ROUND(J444+M444,2)</f>
        <v>2.49</v>
      </c>
      <c r="Q444" s="8" t="n">
        <f aca="false">ROUND(K444+N444,2)</f>
        <v>0.69</v>
      </c>
    </row>
    <row r="445" customFormat="false" ht="15" hidden="false" customHeight="false" outlineLevel="0" collapsed="false">
      <c r="A445" s="0" t="s">
        <v>678</v>
      </c>
      <c r="B445" s="0" t="s">
        <v>83</v>
      </c>
      <c r="C445" s="0" t="s">
        <v>83</v>
      </c>
      <c r="D445" s="0" t="s">
        <v>243</v>
      </c>
      <c r="E445" s="3" t="s">
        <v>210</v>
      </c>
      <c r="G445" s="8" t="s">
        <v>396</v>
      </c>
      <c r="H445" s="0" t="n">
        <v>11</v>
      </c>
      <c r="I445" s="0" t="n">
        <v>4.2</v>
      </c>
      <c r="J445" s="0" t="n">
        <v>1.7</v>
      </c>
      <c r="K445" s="0" t="n">
        <v>0.8</v>
      </c>
      <c r="L445" s="0" t="n">
        <v>0.252</v>
      </c>
      <c r="M445" s="0" t="n">
        <v>0.102</v>
      </c>
      <c r="N445" s="0" t="n">
        <v>0.048</v>
      </c>
      <c r="O445" s="8" t="n">
        <f aca="false">ROUND(I445+L445,2)</f>
        <v>4.45</v>
      </c>
      <c r="P445" s="8" t="n">
        <f aca="false">ROUND(J445+M445,2)</f>
        <v>1.8</v>
      </c>
      <c r="Q445" s="8" t="n">
        <f aca="false">ROUND(K445+N445,2)</f>
        <v>0.85</v>
      </c>
    </row>
    <row r="446" customFormat="false" ht="15" hidden="false" customHeight="false" outlineLevel="0" collapsed="false">
      <c r="A446" s="0" t="s">
        <v>679</v>
      </c>
      <c r="B446" s="0" t="s">
        <v>130</v>
      </c>
      <c r="C446" s="0" t="s">
        <v>130</v>
      </c>
      <c r="D446" s="0" t="s">
        <v>234</v>
      </c>
      <c r="E446" s="3" t="s">
        <v>210</v>
      </c>
      <c r="G446" s="8" t="s">
        <v>396</v>
      </c>
      <c r="H446" s="0" t="n">
        <v>10.2</v>
      </c>
      <c r="I446" s="0" t="n">
        <v>4.2</v>
      </c>
      <c r="J446" s="0" t="n">
        <v>1.4</v>
      </c>
      <c r="K446" s="0" t="n">
        <v>0.4</v>
      </c>
      <c r="L446" s="0" t="n">
        <v>0.252</v>
      </c>
      <c r="M446" s="0" t="n">
        <v>0.084</v>
      </c>
      <c r="N446" s="0" t="n">
        <v>0.024</v>
      </c>
      <c r="O446" s="8" t="n">
        <f aca="false">ROUND(I446+L446,2)</f>
        <v>4.45</v>
      </c>
      <c r="P446" s="8" t="n">
        <f aca="false">ROUND(J446+M446,2)</f>
        <v>1.48</v>
      </c>
      <c r="Q446" s="8" t="n">
        <f aca="false">ROUND(K446+N446,2)</f>
        <v>0.42</v>
      </c>
    </row>
    <row r="447" customFormat="false" ht="15" hidden="false" customHeight="false" outlineLevel="0" collapsed="false">
      <c r="A447" s="0" t="s">
        <v>680</v>
      </c>
      <c r="B447" s="0" t="s">
        <v>184</v>
      </c>
      <c r="C447" s="0" t="s">
        <v>184</v>
      </c>
      <c r="D447" s="0" t="s">
        <v>234</v>
      </c>
      <c r="E447" s="3" t="s">
        <v>210</v>
      </c>
      <c r="G447" s="8" t="s">
        <v>396</v>
      </c>
      <c r="H447" s="0" t="n">
        <v>9.4</v>
      </c>
      <c r="I447" s="0" t="n">
        <v>4.2</v>
      </c>
      <c r="J447" s="0" t="n">
        <v>1.8</v>
      </c>
      <c r="K447" s="0" t="n">
        <v>0.3</v>
      </c>
      <c r="L447" s="0" t="n">
        <v>0</v>
      </c>
      <c r="M447" s="0" t="n">
        <v>0</v>
      </c>
      <c r="N447" s="0" t="n">
        <v>0</v>
      </c>
      <c r="O447" s="8" t="n">
        <f aca="false">ROUND(I447+L447,2)</f>
        <v>4.2</v>
      </c>
      <c r="P447" s="8" t="n">
        <f aca="false">ROUND(J447+M447,2)</f>
        <v>1.8</v>
      </c>
      <c r="Q447" s="8" t="n">
        <f aca="false">ROUND(K447+N447,2)</f>
        <v>0.3</v>
      </c>
    </row>
    <row r="448" customFormat="false" ht="15" hidden="false" customHeight="false" outlineLevel="0" collapsed="false">
      <c r="A448" s="0" t="s">
        <v>681</v>
      </c>
      <c r="B448" s="0" t="s">
        <v>98</v>
      </c>
      <c r="C448" s="0" t="s">
        <v>98</v>
      </c>
      <c r="D448" s="0" t="s">
        <v>234</v>
      </c>
      <c r="E448" s="3" t="s">
        <v>210</v>
      </c>
      <c r="G448" s="8" t="s">
        <v>396</v>
      </c>
      <c r="H448" s="0" t="n">
        <v>9.4</v>
      </c>
      <c r="I448" s="0" t="n">
        <v>4.1</v>
      </c>
      <c r="J448" s="0" t="n">
        <v>1.6</v>
      </c>
      <c r="K448" s="0" t="n">
        <v>0.8</v>
      </c>
      <c r="L448" s="0" t="n">
        <v>0</v>
      </c>
      <c r="M448" s="0" t="n">
        <v>0</v>
      </c>
      <c r="N448" s="0" t="n">
        <v>0</v>
      </c>
      <c r="O448" s="8" t="n">
        <f aca="false">ROUND(I448+L448,2)</f>
        <v>4.1</v>
      </c>
      <c r="P448" s="8" t="n">
        <f aca="false">ROUND(J448+M448,2)</f>
        <v>1.6</v>
      </c>
      <c r="Q448" s="8" t="n">
        <f aca="false">ROUND(K448+N448,2)</f>
        <v>0.8</v>
      </c>
    </row>
    <row r="449" customFormat="false" ht="15" hidden="false" customHeight="false" outlineLevel="0" collapsed="false">
      <c r="A449" s="0" t="s">
        <v>682</v>
      </c>
      <c r="B449" s="0" t="s">
        <v>126</v>
      </c>
      <c r="C449" s="0" t="s">
        <v>126</v>
      </c>
      <c r="D449" s="0" t="s">
        <v>234</v>
      </c>
      <c r="E449" s="3" t="s">
        <v>211</v>
      </c>
      <c r="F449" s="8" t="s">
        <v>210</v>
      </c>
      <c r="G449" s="8" t="s">
        <v>235</v>
      </c>
      <c r="H449" s="0" t="n">
        <v>17.5</v>
      </c>
      <c r="I449" s="0" t="n">
        <v>4</v>
      </c>
      <c r="J449" s="0" t="n">
        <v>2.5</v>
      </c>
      <c r="K449" s="0" t="n">
        <v>0.9</v>
      </c>
      <c r="L449" s="0" t="n">
        <v>0.24</v>
      </c>
      <c r="M449" s="0" t="n">
        <v>0.15</v>
      </c>
      <c r="N449" s="0" t="n">
        <v>0.054</v>
      </c>
      <c r="O449" s="8" t="n">
        <f aca="false">ROUND(I449+L449,2)</f>
        <v>4.24</v>
      </c>
      <c r="P449" s="8" t="n">
        <f aca="false">ROUND(J449+M449,2)</f>
        <v>2.65</v>
      </c>
      <c r="Q449" s="8" t="n">
        <f aca="false">ROUND(K449+N449,2)</f>
        <v>0.95</v>
      </c>
    </row>
    <row r="450" customFormat="false" ht="15" hidden="false" customHeight="false" outlineLevel="0" collapsed="false">
      <c r="A450" s="0" t="s">
        <v>683</v>
      </c>
      <c r="B450" s="0" t="s">
        <v>79</v>
      </c>
      <c r="C450" s="0" t="s">
        <v>79</v>
      </c>
      <c r="D450" s="0" t="s">
        <v>234</v>
      </c>
      <c r="E450" s="3" t="s">
        <v>212</v>
      </c>
      <c r="G450" s="8" t="s">
        <v>396</v>
      </c>
      <c r="H450" s="0" t="n">
        <v>11</v>
      </c>
      <c r="I450" s="0" t="n">
        <v>4</v>
      </c>
      <c r="J450" s="0" t="n">
        <v>2.8</v>
      </c>
      <c r="K450" s="0" t="n">
        <v>0.5</v>
      </c>
      <c r="L450" s="0" t="n">
        <v>0.24</v>
      </c>
      <c r="M450" s="0" t="n">
        <v>0.168</v>
      </c>
      <c r="N450" s="0" t="n">
        <v>0.03</v>
      </c>
      <c r="O450" s="8" t="n">
        <f aca="false">ROUND(I450+L450,2)</f>
        <v>4.24</v>
      </c>
      <c r="P450" s="8" t="n">
        <f aca="false">ROUND(J450+M450,2)</f>
        <v>2.97</v>
      </c>
      <c r="Q450" s="8" t="n">
        <f aca="false">ROUND(K450+N450,2)</f>
        <v>0.53</v>
      </c>
    </row>
    <row r="451" customFormat="false" ht="15" hidden="false" customHeight="false" outlineLevel="0" collapsed="false">
      <c r="A451" s="0" t="s">
        <v>684</v>
      </c>
      <c r="B451" s="0" t="s">
        <v>146</v>
      </c>
      <c r="C451" s="0" t="s">
        <v>146</v>
      </c>
      <c r="D451" s="0" t="s">
        <v>243</v>
      </c>
      <c r="E451" s="3" t="s">
        <v>210</v>
      </c>
      <c r="G451" s="8" t="s">
        <v>396</v>
      </c>
      <c r="H451" s="0" t="n">
        <v>13.1</v>
      </c>
      <c r="I451" s="0" t="n">
        <v>4</v>
      </c>
      <c r="J451" s="0" t="n">
        <v>1.8</v>
      </c>
      <c r="K451" s="0" t="n">
        <v>0.6</v>
      </c>
      <c r="L451" s="0" t="n">
        <v>0.24</v>
      </c>
      <c r="M451" s="0" t="n">
        <v>0.108</v>
      </c>
      <c r="N451" s="0" t="n">
        <v>0.036</v>
      </c>
      <c r="O451" s="8" t="n">
        <f aca="false">ROUND(I451+L451,2)</f>
        <v>4.24</v>
      </c>
      <c r="P451" s="8" t="n">
        <f aca="false">ROUND(J451+M451,2)</f>
        <v>1.91</v>
      </c>
      <c r="Q451" s="8" t="n">
        <f aca="false">ROUND(K451+N451,2)</f>
        <v>0.64</v>
      </c>
    </row>
    <row r="452" customFormat="false" ht="15" hidden="false" customHeight="false" outlineLevel="0" collapsed="false">
      <c r="A452" s="0" t="s">
        <v>685</v>
      </c>
      <c r="B452" s="0" t="s">
        <v>134</v>
      </c>
      <c r="C452" s="0" t="s">
        <v>134</v>
      </c>
      <c r="D452" s="0" t="s">
        <v>234</v>
      </c>
      <c r="E452" s="3" t="s">
        <v>212</v>
      </c>
      <c r="G452" s="8" t="s">
        <v>396</v>
      </c>
      <c r="H452" s="0" t="n">
        <v>10</v>
      </c>
      <c r="I452" s="0" t="n">
        <v>4</v>
      </c>
      <c r="J452" s="0" t="n">
        <v>3</v>
      </c>
      <c r="K452" s="0" t="n">
        <v>0.5</v>
      </c>
      <c r="L452" s="0" t="n">
        <v>0.24</v>
      </c>
      <c r="M452" s="0" t="n">
        <v>0.18</v>
      </c>
      <c r="N452" s="0" t="n">
        <v>0.03</v>
      </c>
      <c r="O452" s="8" t="n">
        <f aca="false">ROUND(I452+L452,2)</f>
        <v>4.24</v>
      </c>
      <c r="P452" s="8" t="n">
        <f aca="false">ROUND(J452+M452,2)</f>
        <v>3.18</v>
      </c>
      <c r="Q452" s="8" t="n">
        <f aca="false">ROUND(K452+N452,2)</f>
        <v>0.53</v>
      </c>
    </row>
    <row r="453" customFormat="false" ht="15" hidden="false" customHeight="false" outlineLevel="0" collapsed="false">
      <c r="A453" s="0" t="s">
        <v>686</v>
      </c>
      <c r="B453" s="0" t="s">
        <v>98</v>
      </c>
      <c r="C453" s="0" t="s">
        <v>98</v>
      </c>
      <c r="D453" s="0" t="s">
        <v>234</v>
      </c>
      <c r="E453" s="3" t="s">
        <v>210</v>
      </c>
      <c r="G453" s="8" t="s">
        <v>396</v>
      </c>
      <c r="H453" s="0" t="n">
        <v>6.4</v>
      </c>
      <c r="I453" s="0" t="n">
        <v>3.9</v>
      </c>
      <c r="J453" s="0" t="n">
        <v>0.7</v>
      </c>
      <c r="K453" s="0" t="n">
        <v>0.6</v>
      </c>
      <c r="L453" s="0" t="n">
        <v>0</v>
      </c>
      <c r="M453" s="0" t="n">
        <v>0</v>
      </c>
      <c r="N453" s="0" t="n">
        <v>0</v>
      </c>
      <c r="O453" s="8" t="n">
        <f aca="false">ROUND(I453+L453,2)</f>
        <v>3.9</v>
      </c>
      <c r="P453" s="8" t="n">
        <f aca="false">ROUND(J453+M453,2)</f>
        <v>0.7</v>
      </c>
      <c r="Q453" s="8" t="n">
        <f aca="false">ROUND(K453+N453,2)</f>
        <v>0.6</v>
      </c>
    </row>
    <row r="454" customFormat="false" ht="15" hidden="false" customHeight="false" outlineLevel="0" collapsed="false">
      <c r="A454" s="0" t="s">
        <v>687</v>
      </c>
      <c r="B454" s="0" t="s">
        <v>146</v>
      </c>
      <c r="C454" s="0" t="s">
        <v>146</v>
      </c>
      <c r="D454" s="0" t="s">
        <v>234</v>
      </c>
      <c r="E454" s="3" t="s">
        <v>212</v>
      </c>
      <c r="G454" s="8" t="s">
        <v>396</v>
      </c>
      <c r="H454" s="0" t="n">
        <v>7.9</v>
      </c>
      <c r="I454" s="0" t="n">
        <v>3.9</v>
      </c>
      <c r="J454" s="0" t="n">
        <v>2.3</v>
      </c>
      <c r="K454" s="0" t="n">
        <v>0.3</v>
      </c>
      <c r="L454" s="0" t="n">
        <v>0</v>
      </c>
      <c r="M454" s="0" t="n">
        <v>0</v>
      </c>
      <c r="N454" s="0" t="n">
        <v>0</v>
      </c>
      <c r="O454" s="8" t="n">
        <f aca="false">ROUND(I454+L454,2)</f>
        <v>3.9</v>
      </c>
      <c r="P454" s="8" t="n">
        <f aca="false">ROUND(J454+M454,2)</f>
        <v>2.3</v>
      </c>
      <c r="Q454" s="8" t="n">
        <f aca="false">ROUND(K454+N454,2)</f>
        <v>0.3</v>
      </c>
    </row>
    <row r="455" customFormat="false" ht="15" hidden="false" customHeight="false" outlineLevel="0" collapsed="false">
      <c r="A455" s="0" t="s">
        <v>688</v>
      </c>
      <c r="B455" s="0" t="s">
        <v>83</v>
      </c>
      <c r="C455" s="0" t="s">
        <v>83</v>
      </c>
      <c r="D455" s="0" t="s">
        <v>234</v>
      </c>
      <c r="E455" s="3" t="s">
        <v>211</v>
      </c>
      <c r="G455" s="8" t="s">
        <v>396</v>
      </c>
      <c r="H455" s="0" t="n">
        <v>14.6</v>
      </c>
      <c r="I455" s="0" t="n">
        <v>3.9</v>
      </c>
      <c r="J455" s="0" t="n">
        <v>3.3</v>
      </c>
      <c r="K455" s="0" t="n">
        <v>0.5</v>
      </c>
      <c r="L455" s="0" t="n">
        <v>0.234</v>
      </c>
      <c r="M455" s="0" t="n">
        <v>0.198</v>
      </c>
      <c r="N455" s="0" t="n">
        <v>0.03</v>
      </c>
      <c r="O455" s="8" t="n">
        <f aca="false">ROUND(I455+L455,2)</f>
        <v>4.13</v>
      </c>
      <c r="P455" s="8" t="n">
        <f aca="false">ROUND(J455+M455,2)</f>
        <v>3.5</v>
      </c>
      <c r="Q455" s="8" t="n">
        <f aca="false">ROUND(K455+N455,2)</f>
        <v>0.53</v>
      </c>
    </row>
    <row r="456" customFormat="false" ht="15" hidden="false" customHeight="false" outlineLevel="0" collapsed="false">
      <c r="A456" s="0" t="s">
        <v>689</v>
      </c>
      <c r="B456" s="0" t="s">
        <v>102</v>
      </c>
      <c r="C456" s="0" t="s">
        <v>102</v>
      </c>
      <c r="D456" s="0" t="s">
        <v>234</v>
      </c>
      <c r="E456" s="3" t="s">
        <v>210</v>
      </c>
      <c r="G456" s="8" t="s">
        <v>396</v>
      </c>
      <c r="H456" s="0" t="n">
        <v>14.8</v>
      </c>
      <c r="I456" s="0" t="n">
        <v>3.9</v>
      </c>
      <c r="J456" s="0" t="n">
        <v>2.5</v>
      </c>
      <c r="K456" s="0" t="n">
        <v>1.4</v>
      </c>
      <c r="L456" s="0" t="n">
        <v>0.234</v>
      </c>
      <c r="M456" s="0" t="n">
        <v>0.15</v>
      </c>
      <c r="N456" s="0" t="n">
        <v>0.084</v>
      </c>
      <c r="O456" s="8" t="n">
        <f aca="false">ROUND(I456+L456,2)</f>
        <v>4.13</v>
      </c>
      <c r="P456" s="8" t="n">
        <f aca="false">ROUND(J456+M456,2)</f>
        <v>2.65</v>
      </c>
      <c r="Q456" s="8" t="n">
        <f aca="false">ROUND(K456+N456,2)</f>
        <v>1.48</v>
      </c>
    </row>
    <row r="457" customFormat="false" ht="15" hidden="false" customHeight="false" outlineLevel="0" collapsed="false">
      <c r="A457" s="0" t="s">
        <v>690</v>
      </c>
      <c r="B457" s="0" t="s">
        <v>169</v>
      </c>
      <c r="C457" s="0" t="s">
        <v>169</v>
      </c>
      <c r="D457" s="0" t="s">
        <v>234</v>
      </c>
      <c r="E457" s="3" t="s">
        <v>209</v>
      </c>
      <c r="G457" s="8" t="s">
        <v>396</v>
      </c>
      <c r="H457" s="0" t="n">
        <v>7</v>
      </c>
      <c r="I457" s="0" t="n">
        <v>3.8</v>
      </c>
      <c r="J457" s="0" t="n">
        <v>0.7</v>
      </c>
      <c r="K457" s="0" t="n">
        <v>0.8</v>
      </c>
      <c r="L457" s="0" t="n">
        <v>0</v>
      </c>
      <c r="M457" s="0" t="n">
        <v>0</v>
      </c>
      <c r="N457" s="0" t="n">
        <v>0</v>
      </c>
      <c r="O457" s="8" t="n">
        <f aca="false">ROUND(I457+L457,2)</f>
        <v>3.8</v>
      </c>
      <c r="P457" s="8" t="n">
        <f aca="false">ROUND(J457+M457,2)</f>
        <v>0.7</v>
      </c>
      <c r="Q457" s="8" t="n">
        <f aca="false">ROUND(K457+N457,2)</f>
        <v>0.8</v>
      </c>
    </row>
    <row r="458" customFormat="false" ht="15" hidden="false" customHeight="false" outlineLevel="0" collapsed="false">
      <c r="A458" s="0" t="s">
        <v>691</v>
      </c>
      <c r="B458" s="0" t="s">
        <v>118</v>
      </c>
      <c r="C458" s="0" t="s">
        <v>118</v>
      </c>
      <c r="D458" s="0" t="s">
        <v>234</v>
      </c>
      <c r="E458" s="3" t="s">
        <v>212</v>
      </c>
      <c r="G458" s="8" t="s">
        <v>396</v>
      </c>
      <c r="H458" s="0" t="n">
        <v>12.3</v>
      </c>
      <c r="I458" s="0" t="n">
        <v>3.8</v>
      </c>
      <c r="J458" s="0" t="n">
        <v>4.6</v>
      </c>
      <c r="K458" s="0" t="n">
        <v>0.7</v>
      </c>
      <c r="L458" s="0" t="n">
        <v>-0.051</v>
      </c>
      <c r="M458" s="0" t="n">
        <v>0.11</v>
      </c>
      <c r="N458" s="0" t="n">
        <v>-0.032</v>
      </c>
      <c r="O458" s="8" t="n">
        <f aca="false">ROUND(I458+L458,2)</f>
        <v>3.75</v>
      </c>
      <c r="P458" s="8" t="n">
        <f aca="false">ROUND(J458+M458,2)</f>
        <v>4.71</v>
      </c>
      <c r="Q458" s="8" t="n">
        <f aca="false">ROUND(K458+N458,2)</f>
        <v>0.67</v>
      </c>
    </row>
    <row r="459" customFormat="false" ht="15" hidden="false" customHeight="false" outlineLevel="0" collapsed="false">
      <c r="A459" s="0" t="s">
        <v>692</v>
      </c>
      <c r="B459" s="0" t="s">
        <v>161</v>
      </c>
      <c r="C459" s="0" t="s">
        <v>161</v>
      </c>
      <c r="D459" s="0" t="s">
        <v>234</v>
      </c>
      <c r="E459" s="3" t="s">
        <v>212</v>
      </c>
      <c r="G459" s="8" t="s">
        <v>396</v>
      </c>
      <c r="H459" s="0" t="n">
        <v>12.8</v>
      </c>
      <c r="I459" s="0" t="n">
        <v>3.8</v>
      </c>
      <c r="J459" s="0" t="n">
        <v>3.2</v>
      </c>
      <c r="K459" s="0" t="n">
        <v>1.2</v>
      </c>
      <c r="L459" s="0" t="n">
        <v>0.013</v>
      </c>
      <c r="M459" s="0" t="n">
        <v>-0.024</v>
      </c>
      <c r="N459" s="0" t="n">
        <v>0.028</v>
      </c>
      <c r="O459" s="8" t="n">
        <f aca="false">ROUND(I459+L459,2)</f>
        <v>3.81</v>
      </c>
      <c r="P459" s="8" t="n">
        <f aca="false">ROUND(J459+M459,2)</f>
        <v>3.18</v>
      </c>
      <c r="Q459" s="8" t="n">
        <f aca="false">ROUND(K459+N459,2)</f>
        <v>1.23</v>
      </c>
    </row>
    <row r="460" customFormat="false" ht="15" hidden="false" customHeight="false" outlineLevel="0" collapsed="false">
      <c r="A460" s="0" t="s">
        <v>693</v>
      </c>
      <c r="B460" s="0" t="s">
        <v>114</v>
      </c>
      <c r="C460" s="0" t="s">
        <v>114</v>
      </c>
      <c r="D460" s="0" t="s">
        <v>234</v>
      </c>
      <c r="E460" s="3" t="s">
        <v>212</v>
      </c>
      <c r="G460" s="8" t="s">
        <v>396</v>
      </c>
      <c r="H460" s="0" t="n">
        <v>11.6</v>
      </c>
      <c r="I460" s="0" t="n">
        <v>3.8</v>
      </c>
      <c r="J460" s="0" t="n">
        <v>3.3</v>
      </c>
      <c r="K460" s="0" t="n">
        <v>0.9</v>
      </c>
      <c r="L460" s="0" t="n">
        <v>0.228</v>
      </c>
      <c r="M460" s="0" t="n">
        <v>0.198</v>
      </c>
      <c r="N460" s="0" t="n">
        <v>0.045</v>
      </c>
      <c r="O460" s="8" t="n">
        <f aca="false">ROUND(I460+L460,2)</f>
        <v>4.03</v>
      </c>
      <c r="P460" s="8" t="n">
        <f aca="false">ROUND(J460+M460,2)</f>
        <v>3.5</v>
      </c>
      <c r="Q460" s="8" t="n">
        <f aca="false">ROUND(K460+N460,2)</f>
        <v>0.95</v>
      </c>
    </row>
    <row r="461" customFormat="false" ht="15" hidden="false" customHeight="false" outlineLevel="0" collapsed="false">
      <c r="A461" s="0" t="s">
        <v>694</v>
      </c>
      <c r="B461" s="0" t="s">
        <v>177</v>
      </c>
      <c r="C461" s="0" t="s">
        <v>177</v>
      </c>
      <c r="D461" s="0" t="s">
        <v>234</v>
      </c>
      <c r="E461" s="3" t="s">
        <v>211</v>
      </c>
      <c r="G461" s="8" t="s">
        <v>396</v>
      </c>
      <c r="H461" s="0" t="n">
        <v>11.3</v>
      </c>
      <c r="I461" s="0" t="n">
        <v>3.7</v>
      </c>
      <c r="J461" s="0" t="n">
        <v>2.6</v>
      </c>
      <c r="K461" s="0" t="n">
        <v>0.6</v>
      </c>
      <c r="L461" s="0" t="n">
        <v>0.222</v>
      </c>
      <c r="M461" s="0" t="n">
        <v>0.156</v>
      </c>
      <c r="N461" s="0" t="n">
        <v>0.036</v>
      </c>
      <c r="O461" s="8" t="n">
        <f aca="false">ROUND(I461+L461,2)</f>
        <v>3.92</v>
      </c>
      <c r="P461" s="8" t="n">
        <f aca="false">ROUND(J461+M461,2)</f>
        <v>2.76</v>
      </c>
      <c r="Q461" s="8" t="n">
        <f aca="false">ROUND(K461+N461,2)</f>
        <v>0.64</v>
      </c>
    </row>
    <row r="462" customFormat="false" ht="15" hidden="false" customHeight="false" outlineLevel="0" collapsed="false">
      <c r="A462" s="0" t="s">
        <v>695</v>
      </c>
      <c r="B462" s="0" t="s">
        <v>165</v>
      </c>
      <c r="C462" s="0" t="s">
        <v>656</v>
      </c>
      <c r="D462" s="0" t="s">
        <v>657</v>
      </c>
      <c r="E462" s="3" t="s">
        <v>210</v>
      </c>
      <c r="G462" s="8" t="s">
        <v>396</v>
      </c>
      <c r="H462" s="0" t="n">
        <v>11.5</v>
      </c>
      <c r="I462" s="0" t="n">
        <v>3.7</v>
      </c>
      <c r="J462" s="0" t="n">
        <v>1.8</v>
      </c>
      <c r="K462" s="0" t="n">
        <v>1.4</v>
      </c>
      <c r="L462" s="0" t="n">
        <v>0</v>
      </c>
      <c r="M462" s="0" t="n">
        <v>0</v>
      </c>
      <c r="N462" s="0" t="n">
        <v>0</v>
      </c>
      <c r="O462" s="8" t="n">
        <f aca="false">ROUND(I462+L462,2)</f>
        <v>3.7</v>
      </c>
      <c r="P462" s="8" t="n">
        <f aca="false">ROUND(J462+M462,2)</f>
        <v>1.8</v>
      </c>
      <c r="Q462" s="8" t="n">
        <f aca="false">ROUND(K462+N462,2)</f>
        <v>1.4</v>
      </c>
    </row>
    <row r="463" customFormat="false" ht="15" hidden="false" customHeight="false" outlineLevel="0" collapsed="false">
      <c r="A463" s="0" t="s">
        <v>696</v>
      </c>
      <c r="B463" s="0" t="s">
        <v>106</v>
      </c>
      <c r="C463" s="0" t="s">
        <v>106</v>
      </c>
      <c r="D463" s="0" t="s">
        <v>234</v>
      </c>
      <c r="E463" s="3" t="s">
        <v>210</v>
      </c>
      <c r="G463" s="8" t="s">
        <v>396</v>
      </c>
      <c r="H463" s="0" t="n">
        <v>8.4</v>
      </c>
      <c r="I463" s="0" t="n">
        <v>3.7</v>
      </c>
      <c r="J463" s="0" t="n">
        <v>1.4</v>
      </c>
      <c r="K463" s="0" t="n">
        <v>0.6</v>
      </c>
      <c r="L463" s="0" t="n">
        <v>0</v>
      </c>
      <c r="M463" s="0" t="n">
        <v>0</v>
      </c>
      <c r="N463" s="0" t="n">
        <v>0</v>
      </c>
      <c r="O463" s="8" t="n">
        <f aca="false">ROUND(I463+L463,2)</f>
        <v>3.7</v>
      </c>
      <c r="P463" s="8" t="n">
        <f aca="false">ROUND(J463+M463,2)</f>
        <v>1.4</v>
      </c>
      <c r="Q463" s="8" t="n">
        <f aca="false">ROUND(K463+N463,2)</f>
        <v>0.6</v>
      </c>
    </row>
    <row r="464" customFormat="false" ht="15" hidden="false" customHeight="false" outlineLevel="0" collapsed="false">
      <c r="A464" s="0" t="s">
        <v>697</v>
      </c>
      <c r="B464" s="0" t="s">
        <v>98</v>
      </c>
      <c r="C464" s="0" t="s">
        <v>122</v>
      </c>
      <c r="D464" s="0" t="s">
        <v>239</v>
      </c>
      <c r="E464" s="3" t="s">
        <v>211</v>
      </c>
      <c r="G464" s="8" t="s">
        <v>396</v>
      </c>
      <c r="H464" s="0" t="n">
        <v>12.8</v>
      </c>
      <c r="I464" s="0" t="n">
        <v>3.7</v>
      </c>
      <c r="J464" s="0" t="n">
        <v>2.7</v>
      </c>
      <c r="K464" s="0" t="n">
        <v>1</v>
      </c>
      <c r="L464" s="0" t="n">
        <v>0</v>
      </c>
      <c r="M464" s="0" t="n">
        <v>0</v>
      </c>
      <c r="N464" s="0" t="n">
        <v>0</v>
      </c>
      <c r="O464" s="8" t="n">
        <f aca="false">ROUND(I464+L464,2)</f>
        <v>3.7</v>
      </c>
      <c r="P464" s="8" t="n">
        <f aca="false">ROUND(J464+M464,2)</f>
        <v>2.7</v>
      </c>
      <c r="Q464" s="8" t="n">
        <f aca="false">ROUND(K464+N464,2)</f>
        <v>1</v>
      </c>
    </row>
    <row r="465" customFormat="false" ht="15" hidden="false" customHeight="false" outlineLevel="0" collapsed="false">
      <c r="A465" s="0" t="s">
        <v>698</v>
      </c>
      <c r="B465" s="0" t="s">
        <v>106</v>
      </c>
      <c r="C465" s="0" t="s">
        <v>106</v>
      </c>
      <c r="D465" s="0" t="s">
        <v>234</v>
      </c>
      <c r="E465" s="3" t="s">
        <v>211</v>
      </c>
      <c r="G465" s="8" t="s">
        <v>396</v>
      </c>
      <c r="H465" s="0" t="n">
        <v>12</v>
      </c>
      <c r="I465" s="0" t="n">
        <v>3.7</v>
      </c>
      <c r="J465" s="0" t="n">
        <v>2.6</v>
      </c>
      <c r="K465" s="0" t="n">
        <v>0.6</v>
      </c>
      <c r="L465" s="0" t="n">
        <v>0.111</v>
      </c>
      <c r="M465" s="0" t="n">
        <v>0.009</v>
      </c>
      <c r="N465" s="0" t="n">
        <v>-0.035</v>
      </c>
      <c r="O465" s="8" t="n">
        <f aca="false">ROUND(I465+L465,2)</f>
        <v>3.81</v>
      </c>
      <c r="P465" s="8" t="n">
        <f aca="false">ROUND(J465+M465,2)</f>
        <v>2.61</v>
      </c>
      <c r="Q465" s="8" t="n">
        <f aca="false">ROUND(K465+N465,2)</f>
        <v>0.57</v>
      </c>
    </row>
    <row r="466" customFormat="false" ht="15" hidden="false" customHeight="false" outlineLevel="0" collapsed="false">
      <c r="A466" s="0" t="s">
        <v>699</v>
      </c>
      <c r="B466" s="0" t="s">
        <v>110</v>
      </c>
      <c r="C466" s="0" t="s">
        <v>110</v>
      </c>
      <c r="D466" s="0" t="s">
        <v>234</v>
      </c>
      <c r="E466" s="3" t="s">
        <v>212</v>
      </c>
      <c r="G466" s="8" t="s">
        <v>396</v>
      </c>
      <c r="H466" s="0" t="n">
        <v>9.1</v>
      </c>
      <c r="I466" s="0" t="n">
        <v>3.7</v>
      </c>
      <c r="J466" s="0" t="n">
        <v>3.3</v>
      </c>
      <c r="K466" s="0" t="n">
        <v>0.9</v>
      </c>
      <c r="L466" s="0" t="n">
        <v>0</v>
      </c>
      <c r="M466" s="0" t="n">
        <v>0</v>
      </c>
      <c r="N466" s="0" t="n">
        <v>0</v>
      </c>
      <c r="O466" s="8" t="n">
        <f aca="false">ROUND(I466+L466,2)</f>
        <v>3.7</v>
      </c>
      <c r="P466" s="8" t="n">
        <f aca="false">ROUND(J466+M466,2)</f>
        <v>3.3</v>
      </c>
      <c r="Q466" s="8" t="n">
        <f aca="false">ROUND(K466+N466,2)</f>
        <v>0.9</v>
      </c>
    </row>
    <row r="467" customFormat="false" ht="15" hidden="false" customHeight="false" outlineLevel="0" collapsed="false">
      <c r="A467" s="0" t="s">
        <v>181</v>
      </c>
      <c r="B467" s="0" t="s">
        <v>154</v>
      </c>
      <c r="C467" s="0" t="s">
        <v>173</v>
      </c>
      <c r="D467" s="0" t="s">
        <v>239</v>
      </c>
      <c r="E467" s="3" t="s">
        <v>211</v>
      </c>
      <c r="G467" s="8" t="s">
        <v>396</v>
      </c>
      <c r="H467" s="0" t="n">
        <v>10.7</v>
      </c>
      <c r="I467" s="0" t="n">
        <v>3.6</v>
      </c>
      <c r="J467" s="0" t="n">
        <v>2.4</v>
      </c>
      <c r="K467" s="0" t="n">
        <v>0.9</v>
      </c>
      <c r="L467" s="0" t="n">
        <v>0</v>
      </c>
      <c r="M467" s="0" t="n">
        <v>0</v>
      </c>
      <c r="N467" s="0" t="n">
        <v>0</v>
      </c>
      <c r="O467" s="8" t="n">
        <f aca="false">ROUND(I467+L467,2)</f>
        <v>3.6</v>
      </c>
      <c r="P467" s="8" t="n">
        <f aca="false">ROUND(J467+M467,2)</f>
        <v>2.4</v>
      </c>
      <c r="Q467" s="8" t="n">
        <f aca="false">ROUND(K467+N467,2)</f>
        <v>0.9</v>
      </c>
    </row>
    <row r="468" customFormat="false" ht="15" hidden="false" customHeight="false" outlineLevel="0" collapsed="false">
      <c r="A468" s="0" t="s">
        <v>700</v>
      </c>
      <c r="B468" s="0" t="s">
        <v>154</v>
      </c>
      <c r="C468" s="0" t="s">
        <v>154</v>
      </c>
      <c r="D468" s="0" t="s">
        <v>243</v>
      </c>
      <c r="E468" s="3" t="s">
        <v>210</v>
      </c>
      <c r="G468" s="8" t="s">
        <v>396</v>
      </c>
      <c r="H468" s="0" t="n">
        <v>9.2</v>
      </c>
      <c r="I468" s="0" t="n">
        <v>3.6</v>
      </c>
      <c r="J468" s="0" t="n">
        <v>1.4</v>
      </c>
      <c r="K468" s="0" t="n">
        <v>0.8</v>
      </c>
      <c r="L468" s="0" t="n">
        <v>0</v>
      </c>
      <c r="M468" s="0" t="n">
        <v>0</v>
      </c>
      <c r="N468" s="0" t="n">
        <v>0</v>
      </c>
      <c r="O468" s="8" t="n">
        <f aca="false">ROUND(I468+L468,2)</f>
        <v>3.6</v>
      </c>
      <c r="P468" s="8" t="n">
        <f aca="false">ROUND(J468+M468,2)</f>
        <v>1.4</v>
      </c>
      <c r="Q468" s="8" t="n">
        <f aca="false">ROUND(K468+N468,2)</f>
        <v>0.8</v>
      </c>
    </row>
    <row r="469" customFormat="false" ht="15" hidden="false" customHeight="false" outlineLevel="0" collapsed="false">
      <c r="A469" s="0" t="s">
        <v>701</v>
      </c>
      <c r="B469" s="0" t="s">
        <v>138</v>
      </c>
      <c r="C469" s="0" t="s">
        <v>138</v>
      </c>
      <c r="D469" s="0" t="s">
        <v>234</v>
      </c>
      <c r="E469" s="3" t="s">
        <v>212</v>
      </c>
      <c r="G469" s="8" t="s">
        <v>396</v>
      </c>
      <c r="H469" s="0" t="n">
        <v>9.1</v>
      </c>
      <c r="I469" s="0" t="n">
        <v>3.6</v>
      </c>
      <c r="J469" s="0" t="n">
        <v>2.7</v>
      </c>
      <c r="K469" s="0" t="n">
        <v>1</v>
      </c>
      <c r="L469" s="0" t="n">
        <v>0</v>
      </c>
      <c r="M469" s="0" t="n">
        <v>0</v>
      </c>
      <c r="N469" s="0" t="n">
        <v>0</v>
      </c>
      <c r="O469" s="8" t="n">
        <f aca="false">ROUND(I469+L469,2)</f>
        <v>3.6</v>
      </c>
      <c r="P469" s="8" t="n">
        <f aca="false">ROUND(J469+M469,2)</f>
        <v>2.7</v>
      </c>
      <c r="Q469" s="8" t="n">
        <f aca="false">ROUND(K469+N469,2)</f>
        <v>1</v>
      </c>
    </row>
    <row r="470" customFormat="false" ht="15" hidden="false" customHeight="false" outlineLevel="0" collapsed="false">
      <c r="A470" s="0" t="s">
        <v>702</v>
      </c>
      <c r="B470" s="0" t="s">
        <v>98</v>
      </c>
      <c r="C470" s="0" t="s">
        <v>98</v>
      </c>
      <c r="D470" s="0" t="s">
        <v>234</v>
      </c>
      <c r="E470" s="3" t="s">
        <v>212</v>
      </c>
      <c r="G470" s="8" t="s">
        <v>396</v>
      </c>
      <c r="H470" s="0" t="n">
        <v>9.8</v>
      </c>
      <c r="I470" s="0" t="n">
        <v>3.5</v>
      </c>
      <c r="J470" s="0" t="n">
        <v>2.8</v>
      </c>
      <c r="K470" s="0" t="n">
        <v>1.3</v>
      </c>
      <c r="L470" s="0" t="n">
        <v>0</v>
      </c>
      <c r="M470" s="0" t="n">
        <v>0</v>
      </c>
      <c r="N470" s="0" t="n">
        <v>0</v>
      </c>
      <c r="O470" s="8" t="n">
        <f aca="false">ROUND(I470+L470,2)</f>
        <v>3.5</v>
      </c>
      <c r="P470" s="8" t="n">
        <f aca="false">ROUND(J470+M470,2)</f>
        <v>2.8</v>
      </c>
      <c r="Q470" s="8" t="n">
        <f aca="false">ROUND(K470+N470,2)</f>
        <v>1.3</v>
      </c>
    </row>
    <row r="471" customFormat="false" ht="15" hidden="false" customHeight="false" outlineLevel="0" collapsed="false">
      <c r="A471" s="0" t="s">
        <v>703</v>
      </c>
      <c r="B471" s="0" t="s">
        <v>79</v>
      </c>
      <c r="C471" s="0" t="s">
        <v>79</v>
      </c>
      <c r="D471" s="0" t="s">
        <v>234</v>
      </c>
      <c r="E471" s="3" t="s">
        <v>208</v>
      </c>
      <c r="G471" s="8" t="s">
        <v>396</v>
      </c>
      <c r="H471" s="0" t="n">
        <v>10.1</v>
      </c>
      <c r="I471" s="0" t="n">
        <v>3.5</v>
      </c>
      <c r="J471" s="0" t="n">
        <v>1.1</v>
      </c>
      <c r="K471" s="0" t="n">
        <v>1.8</v>
      </c>
      <c r="L471" s="0" t="n">
        <v>0.21</v>
      </c>
      <c r="M471" s="0" t="n">
        <v>0.066</v>
      </c>
      <c r="N471" s="0" t="n">
        <v>0.108</v>
      </c>
      <c r="O471" s="8" t="n">
        <f aca="false">ROUND(I471+L471,2)</f>
        <v>3.71</v>
      </c>
      <c r="P471" s="8" t="n">
        <f aca="false">ROUND(J471+M471,2)</f>
        <v>1.17</v>
      </c>
      <c r="Q471" s="8" t="n">
        <f aca="false">ROUND(K471+N471,2)</f>
        <v>1.91</v>
      </c>
    </row>
    <row r="472" customFormat="false" ht="15" hidden="false" customHeight="false" outlineLevel="0" collapsed="false">
      <c r="A472" s="0" t="s">
        <v>704</v>
      </c>
      <c r="B472" s="0" t="s">
        <v>184</v>
      </c>
      <c r="C472" s="0" t="s">
        <v>184</v>
      </c>
      <c r="D472" s="0" t="s">
        <v>234</v>
      </c>
      <c r="E472" s="3" t="s">
        <v>212</v>
      </c>
      <c r="G472" s="8" t="s">
        <v>396</v>
      </c>
      <c r="H472" s="0" t="n">
        <v>9.4</v>
      </c>
      <c r="I472" s="0" t="n">
        <v>3.4</v>
      </c>
      <c r="J472" s="0" t="n">
        <v>2.7</v>
      </c>
      <c r="K472" s="0" t="n">
        <v>0.7</v>
      </c>
      <c r="L472" s="0" t="n">
        <v>0</v>
      </c>
      <c r="M472" s="0" t="n">
        <v>0</v>
      </c>
      <c r="N472" s="0" t="n">
        <v>0</v>
      </c>
      <c r="O472" s="8" t="n">
        <f aca="false">ROUND(I472+L472,2)</f>
        <v>3.4</v>
      </c>
      <c r="P472" s="8" t="n">
        <f aca="false">ROUND(J472+M472,2)</f>
        <v>2.7</v>
      </c>
      <c r="Q472" s="8" t="n">
        <f aca="false">ROUND(K472+N472,2)</f>
        <v>0.7</v>
      </c>
    </row>
    <row r="473" customFormat="false" ht="15" hidden="false" customHeight="false" outlineLevel="0" collapsed="false">
      <c r="A473" s="0" t="s">
        <v>705</v>
      </c>
      <c r="B473" s="0" t="s">
        <v>134</v>
      </c>
      <c r="C473" s="0" t="s">
        <v>150</v>
      </c>
      <c r="D473" s="0" t="s">
        <v>239</v>
      </c>
      <c r="E473" s="3" t="s">
        <v>212</v>
      </c>
      <c r="G473" s="8" t="s">
        <v>396</v>
      </c>
      <c r="H473" s="0" t="n">
        <v>9.7</v>
      </c>
      <c r="I473" s="0" t="n">
        <v>3.4</v>
      </c>
      <c r="J473" s="0" t="n">
        <v>2.7</v>
      </c>
      <c r="K473" s="0" t="n">
        <v>0.6</v>
      </c>
      <c r="L473" s="0" t="n">
        <v>0</v>
      </c>
      <c r="M473" s="0" t="n">
        <v>0</v>
      </c>
      <c r="N473" s="0" t="n">
        <v>0</v>
      </c>
      <c r="O473" s="8" t="n">
        <f aca="false">ROUND(I473+L473,2)</f>
        <v>3.4</v>
      </c>
      <c r="P473" s="8" t="n">
        <f aca="false">ROUND(J473+M473,2)</f>
        <v>2.7</v>
      </c>
      <c r="Q473" s="8" t="n">
        <f aca="false">ROUND(K473+N473,2)</f>
        <v>0.6</v>
      </c>
    </row>
    <row r="474" customFormat="false" ht="15" hidden="false" customHeight="false" outlineLevel="0" collapsed="false">
      <c r="A474" s="0" t="s">
        <v>706</v>
      </c>
      <c r="B474" s="0" t="s">
        <v>94</v>
      </c>
      <c r="C474" s="0" t="s">
        <v>94</v>
      </c>
      <c r="D474" s="0" t="s">
        <v>234</v>
      </c>
      <c r="E474" s="3" t="s">
        <v>208</v>
      </c>
      <c r="G474" s="8" t="s">
        <v>396</v>
      </c>
      <c r="H474" s="0" t="n">
        <v>11.6</v>
      </c>
      <c r="I474" s="0" t="n">
        <v>3.4</v>
      </c>
      <c r="J474" s="0" t="n">
        <v>1.8</v>
      </c>
      <c r="K474" s="0" t="n">
        <v>2.6</v>
      </c>
      <c r="L474" s="0" t="n">
        <v>0.204</v>
      </c>
      <c r="M474" s="0" t="n">
        <v>0.108</v>
      </c>
      <c r="N474" s="0" t="n">
        <v>0.156</v>
      </c>
      <c r="O474" s="8" t="n">
        <f aca="false">ROUND(I474+L474,2)</f>
        <v>3.6</v>
      </c>
      <c r="P474" s="8" t="n">
        <f aca="false">ROUND(J474+M474,2)</f>
        <v>1.91</v>
      </c>
      <c r="Q474" s="8" t="n">
        <f aca="false">ROUND(K474+N474,2)</f>
        <v>2.76</v>
      </c>
    </row>
    <row r="475" customFormat="false" ht="15" hidden="false" customHeight="false" outlineLevel="0" collapsed="false">
      <c r="A475" s="0" t="s">
        <v>707</v>
      </c>
      <c r="B475" s="0" t="s">
        <v>130</v>
      </c>
      <c r="C475" s="0" t="s">
        <v>130</v>
      </c>
      <c r="D475" s="0" t="s">
        <v>234</v>
      </c>
      <c r="E475" s="3" t="s">
        <v>209</v>
      </c>
      <c r="G475" s="8" t="s">
        <v>396</v>
      </c>
      <c r="H475" s="0" t="n">
        <v>8.7</v>
      </c>
      <c r="I475" s="0" t="n">
        <v>3.4</v>
      </c>
      <c r="J475" s="0" t="n">
        <v>1.2</v>
      </c>
      <c r="K475" s="0" t="n">
        <v>0.9</v>
      </c>
      <c r="L475" s="0" t="n">
        <v>0</v>
      </c>
      <c r="M475" s="0" t="n">
        <v>0</v>
      </c>
      <c r="N475" s="0" t="n">
        <v>0</v>
      </c>
      <c r="O475" s="8" t="n">
        <f aca="false">ROUND(I475+L475,2)</f>
        <v>3.4</v>
      </c>
      <c r="P475" s="8" t="n">
        <f aca="false">ROUND(J475+M475,2)</f>
        <v>1.2</v>
      </c>
      <c r="Q475" s="8" t="n">
        <f aca="false">ROUND(K475+N475,2)</f>
        <v>0.9</v>
      </c>
    </row>
    <row r="476" customFormat="false" ht="15" hidden="false" customHeight="false" outlineLevel="0" collapsed="false">
      <c r="A476" s="0" t="s">
        <v>708</v>
      </c>
      <c r="B476" s="0" t="s">
        <v>102</v>
      </c>
      <c r="C476" s="0" t="s">
        <v>150</v>
      </c>
      <c r="D476" s="0" t="s">
        <v>239</v>
      </c>
      <c r="E476" s="3" t="s">
        <v>209</v>
      </c>
      <c r="G476" s="8" t="s">
        <v>396</v>
      </c>
      <c r="H476" s="0" t="n">
        <v>9.5</v>
      </c>
      <c r="I476" s="0" t="n">
        <v>3.3</v>
      </c>
      <c r="J476" s="0" t="n">
        <v>1.1</v>
      </c>
      <c r="K476" s="0" t="n">
        <v>1</v>
      </c>
      <c r="L476" s="0" t="n">
        <v>0</v>
      </c>
      <c r="M476" s="0" t="n">
        <v>0</v>
      </c>
      <c r="N476" s="0" t="n">
        <v>0</v>
      </c>
      <c r="O476" s="8" t="n">
        <f aca="false">ROUND(I476+L476,2)</f>
        <v>3.3</v>
      </c>
      <c r="P476" s="8" t="n">
        <f aca="false">ROUND(J476+M476,2)</f>
        <v>1.1</v>
      </c>
      <c r="Q476" s="8" t="n">
        <f aca="false">ROUND(K476+N476,2)</f>
        <v>1</v>
      </c>
    </row>
    <row r="477" customFormat="false" ht="15" hidden="false" customHeight="false" outlineLevel="0" collapsed="false">
      <c r="A477" s="0" t="s">
        <v>709</v>
      </c>
      <c r="B477" s="0" t="s">
        <v>118</v>
      </c>
      <c r="C477" s="0" t="s">
        <v>79</v>
      </c>
      <c r="D477" s="0" t="s">
        <v>239</v>
      </c>
      <c r="E477" s="3" t="s">
        <v>211</v>
      </c>
      <c r="G477" s="8" t="s">
        <v>235</v>
      </c>
      <c r="H477" s="0" t="n">
        <v>16.8</v>
      </c>
      <c r="I477" s="0" t="n">
        <v>3.3</v>
      </c>
      <c r="J477" s="0" t="n">
        <v>2.5</v>
      </c>
      <c r="K477" s="0" t="n">
        <v>1</v>
      </c>
      <c r="L477" s="0" t="n">
        <v>0</v>
      </c>
      <c r="M477" s="0" t="n">
        <v>0</v>
      </c>
      <c r="N477" s="0" t="n">
        <v>0</v>
      </c>
      <c r="O477" s="8" t="n">
        <f aca="false">ROUND(I477+L477,2)</f>
        <v>3.3</v>
      </c>
      <c r="P477" s="8" t="n">
        <f aca="false">ROUND(J477+M477,2)</f>
        <v>2.5</v>
      </c>
      <c r="Q477" s="8" t="n">
        <f aca="false">ROUND(K477+N477,2)</f>
        <v>1</v>
      </c>
    </row>
    <row r="478" customFormat="false" ht="15" hidden="false" customHeight="false" outlineLevel="0" collapsed="false">
      <c r="A478" s="0" t="s">
        <v>710</v>
      </c>
      <c r="B478" s="0" t="s">
        <v>146</v>
      </c>
      <c r="C478" s="0" t="s">
        <v>146</v>
      </c>
      <c r="D478" s="0" t="s">
        <v>234</v>
      </c>
      <c r="E478" s="3" t="s">
        <v>212</v>
      </c>
      <c r="G478" s="8" t="s">
        <v>396</v>
      </c>
      <c r="H478" s="0" t="n">
        <v>9.3</v>
      </c>
      <c r="I478" s="0" t="n">
        <v>3.3</v>
      </c>
      <c r="J478" s="0" t="n">
        <v>2.5</v>
      </c>
      <c r="K478" s="0" t="n">
        <v>0.5</v>
      </c>
      <c r="L478" s="0" t="n">
        <v>0</v>
      </c>
      <c r="M478" s="0" t="n">
        <v>0</v>
      </c>
      <c r="N478" s="0" t="n">
        <v>0</v>
      </c>
      <c r="O478" s="8" t="n">
        <f aca="false">ROUND(I478+L478,2)</f>
        <v>3.3</v>
      </c>
      <c r="P478" s="8" t="n">
        <f aca="false">ROUND(J478+M478,2)</f>
        <v>2.5</v>
      </c>
      <c r="Q478" s="8" t="n">
        <f aca="false">ROUND(K478+N478,2)</f>
        <v>0.5</v>
      </c>
    </row>
    <row r="479" customFormat="false" ht="15" hidden="false" customHeight="false" outlineLevel="0" collapsed="false">
      <c r="A479" s="0" t="s">
        <v>711</v>
      </c>
      <c r="B479" s="0" t="s">
        <v>114</v>
      </c>
      <c r="C479" s="0" t="s">
        <v>114</v>
      </c>
      <c r="D479" s="0" t="s">
        <v>234</v>
      </c>
      <c r="E479" s="3" t="s">
        <v>210</v>
      </c>
      <c r="G479" s="8" t="s">
        <v>396</v>
      </c>
      <c r="H479" s="0" t="n">
        <v>11</v>
      </c>
      <c r="I479" s="0" t="n">
        <v>3.3</v>
      </c>
      <c r="J479" s="0" t="n">
        <v>2.1</v>
      </c>
      <c r="K479" s="0" t="n">
        <v>0.9</v>
      </c>
      <c r="L479" s="0" t="n">
        <v>0.198</v>
      </c>
      <c r="M479" s="0" t="n">
        <v>0.126</v>
      </c>
      <c r="N479" s="0" t="n">
        <v>0.046</v>
      </c>
      <c r="O479" s="8" t="n">
        <f aca="false">ROUND(I479+L479,2)</f>
        <v>3.5</v>
      </c>
      <c r="P479" s="8" t="n">
        <f aca="false">ROUND(J479+M479,2)</f>
        <v>2.23</v>
      </c>
      <c r="Q479" s="8" t="n">
        <f aca="false">ROUND(K479+N479,2)</f>
        <v>0.95</v>
      </c>
    </row>
    <row r="480" customFormat="false" ht="15" hidden="false" customHeight="false" outlineLevel="0" collapsed="false">
      <c r="A480" s="0" t="s">
        <v>712</v>
      </c>
      <c r="B480" s="0" t="s">
        <v>102</v>
      </c>
      <c r="C480" s="0" t="s">
        <v>102</v>
      </c>
      <c r="D480" s="0" t="s">
        <v>234</v>
      </c>
      <c r="E480" s="3" t="s">
        <v>212</v>
      </c>
      <c r="G480" s="8" t="s">
        <v>396</v>
      </c>
      <c r="H480" s="0" t="n">
        <v>14.3</v>
      </c>
      <c r="I480" s="0" t="n">
        <v>3.3</v>
      </c>
      <c r="J480" s="0" t="n">
        <v>4.1</v>
      </c>
      <c r="K480" s="0" t="n">
        <v>1.1</v>
      </c>
      <c r="L480" s="0" t="n">
        <v>0.198</v>
      </c>
      <c r="M480" s="0" t="n">
        <v>0.246</v>
      </c>
      <c r="N480" s="0" t="n">
        <v>0.066</v>
      </c>
      <c r="O480" s="8" t="n">
        <f aca="false">ROUND(I480+L480,2)</f>
        <v>3.5</v>
      </c>
      <c r="P480" s="8" t="n">
        <f aca="false">ROUND(J480+M480,2)</f>
        <v>4.35</v>
      </c>
      <c r="Q480" s="8" t="n">
        <f aca="false">ROUND(K480+N480,2)</f>
        <v>1.17</v>
      </c>
    </row>
    <row r="481" customFormat="false" ht="15" hidden="false" customHeight="false" outlineLevel="0" collapsed="false">
      <c r="A481" s="0" t="s">
        <v>713</v>
      </c>
      <c r="B481" s="0" t="s">
        <v>177</v>
      </c>
      <c r="C481" s="0" t="s">
        <v>177</v>
      </c>
      <c r="D481" s="0" t="s">
        <v>234</v>
      </c>
      <c r="E481" s="3" t="s">
        <v>208</v>
      </c>
      <c r="G481" s="8" t="s">
        <v>396</v>
      </c>
      <c r="H481" s="0" t="n">
        <v>14.3</v>
      </c>
      <c r="I481" s="0" t="n">
        <v>3.3</v>
      </c>
      <c r="J481" s="0" t="n">
        <v>1</v>
      </c>
      <c r="K481" s="0" t="n">
        <v>3.3</v>
      </c>
      <c r="L481" s="0" t="n">
        <v>0.198</v>
      </c>
      <c r="M481" s="0" t="n">
        <v>0.06</v>
      </c>
      <c r="N481" s="0" t="n">
        <v>0.198</v>
      </c>
      <c r="O481" s="8" t="n">
        <f aca="false">ROUND(I481+L481,2)</f>
        <v>3.5</v>
      </c>
      <c r="P481" s="8" t="n">
        <f aca="false">ROUND(J481+M481,2)</f>
        <v>1.06</v>
      </c>
      <c r="Q481" s="8" t="n">
        <f aca="false">ROUND(K481+N481,2)</f>
        <v>3.5</v>
      </c>
    </row>
    <row r="482" customFormat="false" ht="15" hidden="false" customHeight="false" outlineLevel="0" collapsed="false">
      <c r="A482" s="0" t="s">
        <v>714</v>
      </c>
      <c r="B482" s="0" t="s">
        <v>122</v>
      </c>
      <c r="C482" s="0" t="s">
        <v>122</v>
      </c>
      <c r="D482" s="0" t="s">
        <v>234</v>
      </c>
      <c r="E482" s="3" t="s">
        <v>210</v>
      </c>
      <c r="G482" s="8" t="s">
        <v>396</v>
      </c>
      <c r="H482" s="0" t="n">
        <v>14.5</v>
      </c>
      <c r="I482" s="0" t="n">
        <v>3.3</v>
      </c>
      <c r="J482" s="0" t="n">
        <v>2</v>
      </c>
      <c r="K482" s="0" t="n">
        <v>0.8</v>
      </c>
      <c r="L482" s="0" t="n">
        <v>0.198</v>
      </c>
      <c r="M482" s="0" t="n">
        <v>0.12</v>
      </c>
      <c r="N482" s="0" t="n">
        <v>0.048</v>
      </c>
      <c r="O482" s="8" t="n">
        <f aca="false">ROUND(I482+L482,2)</f>
        <v>3.5</v>
      </c>
      <c r="P482" s="8" t="n">
        <f aca="false">ROUND(J482+M482,2)</f>
        <v>2.12</v>
      </c>
      <c r="Q482" s="8" t="n">
        <f aca="false">ROUND(K482+N482,2)</f>
        <v>0.85</v>
      </c>
    </row>
    <row r="483" customFormat="false" ht="15" hidden="false" customHeight="false" outlineLevel="0" collapsed="false">
      <c r="A483" s="0" t="s">
        <v>715</v>
      </c>
      <c r="B483" s="0" t="s">
        <v>169</v>
      </c>
      <c r="C483" s="0" t="s">
        <v>169</v>
      </c>
      <c r="D483" s="0" t="s">
        <v>234</v>
      </c>
      <c r="E483" s="3" t="s">
        <v>210</v>
      </c>
      <c r="G483" s="8" t="s">
        <v>396</v>
      </c>
      <c r="H483" s="0" t="n">
        <v>10.7</v>
      </c>
      <c r="I483" s="0" t="n">
        <v>3.2</v>
      </c>
      <c r="J483" s="0" t="n">
        <v>1.2</v>
      </c>
      <c r="K483" s="0" t="n">
        <v>0.6</v>
      </c>
      <c r="L483" s="0" t="n">
        <v>0.16</v>
      </c>
      <c r="M483" s="0" t="n">
        <v>0.039</v>
      </c>
      <c r="N483" s="0" t="n">
        <v>0.036</v>
      </c>
      <c r="O483" s="8" t="n">
        <f aca="false">ROUND(I483+L483,2)</f>
        <v>3.36</v>
      </c>
      <c r="P483" s="8" t="n">
        <f aca="false">ROUND(J483+M483,2)</f>
        <v>1.24</v>
      </c>
      <c r="Q483" s="8" t="n">
        <f aca="false">ROUND(K483+N483,2)</f>
        <v>0.64</v>
      </c>
    </row>
    <row r="484" customFormat="false" ht="15" hidden="false" customHeight="false" outlineLevel="0" collapsed="false">
      <c r="A484" s="0" t="s">
        <v>716</v>
      </c>
      <c r="B484" s="0" t="s">
        <v>142</v>
      </c>
      <c r="C484" s="0" t="s">
        <v>142</v>
      </c>
      <c r="D484" s="0" t="s">
        <v>234</v>
      </c>
      <c r="E484" s="3" t="s">
        <v>212</v>
      </c>
      <c r="G484" s="8" t="s">
        <v>396</v>
      </c>
      <c r="H484" s="0" t="n">
        <v>3.5</v>
      </c>
      <c r="I484" s="0" t="n">
        <v>3.2</v>
      </c>
      <c r="J484" s="0" t="n">
        <v>1</v>
      </c>
      <c r="K484" s="0" t="n">
        <v>0.2</v>
      </c>
      <c r="L484" s="0" t="n">
        <v>0</v>
      </c>
      <c r="M484" s="0" t="n">
        <v>0</v>
      </c>
      <c r="N484" s="0" t="n">
        <v>0</v>
      </c>
      <c r="O484" s="8" t="n">
        <f aca="false">ROUND(I484+L484,2)</f>
        <v>3.2</v>
      </c>
      <c r="P484" s="8" t="n">
        <f aca="false">ROUND(J484+M484,2)</f>
        <v>1</v>
      </c>
      <c r="Q484" s="8" t="n">
        <f aca="false">ROUND(K484+N484,2)</f>
        <v>0.2</v>
      </c>
    </row>
    <row r="485" customFormat="false" ht="15" hidden="false" customHeight="false" outlineLevel="0" collapsed="false">
      <c r="A485" s="0" t="s">
        <v>717</v>
      </c>
      <c r="B485" s="0" t="s">
        <v>180</v>
      </c>
      <c r="C485" s="0" t="s">
        <v>180</v>
      </c>
      <c r="D485" s="0" t="s">
        <v>234</v>
      </c>
      <c r="E485" s="3" t="s">
        <v>211</v>
      </c>
      <c r="G485" s="8" t="s">
        <v>396</v>
      </c>
      <c r="H485" s="0" t="n">
        <v>8.6</v>
      </c>
      <c r="I485" s="0" t="n">
        <v>3.2</v>
      </c>
      <c r="J485" s="0" t="n">
        <v>1.8</v>
      </c>
      <c r="K485" s="0" t="n">
        <v>1.2</v>
      </c>
      <c r="L485" s="0" t="n">
        <v>0</v>
      </c>
      <c r="M485" s="0" t="n">
        <v>0</v>
      </c>
      <c r="N485" s="0" t="n">
        <v>0</v>
      </c>
      <c r="O485" s="8" t="n">
        <f aca="false">ROUND(I485+L485,2)</f>
        <v>3.2</v>
      </c>
      <c r="P485" s="8" t="n">
        <f aca="false">ROUND(J485+M485,2)</f>
        <v>1.8</v>
      </c>
      <c r="Q485" s="8" t="n">
        <f aca="false">ROUND(K485+N485,2)</f>
        <v>1.2</v>
      </c>
    </row>
    <row r="486" customFormat="false" ht="15" hidden="false" customHeight="false" outlineLevel="0" collapsed="false">
      <c r="A486" s="0" t="s">
        <v>718</v>
      </c>
      <c r="B486" s="0" t="s">
        <v>184</v>
      </c>
      <c r="C486" s="0" t="s">
        <v>184</v>
      </c>
      <c r="D486" s="0" t="s">
        <v>234</v>
      </c>
      <c r="E486" s="3" t="s">
        <v>210</v>
      </c>
      <c r="G486" s="8" t="s">
        <v>396</v>
      </c>
      <c r="H486" s="0" t="n">
        <v>8.5</v>
      </c>
      <c r="I486" s="0" t="n">
        <v>3.1</v>
      </c>
      <c r="J486" s="0" t="n">
        <v>1.5</v>
      </c>
      <c r="K486" s="0" t="n">
        <v>0.4</v>
      </c>
      <c r="L486" s="0" t="n">
        <v>0</v>
      </c>
      <c r="M486" s="0" t="n">
        <v>0</v>
      </c>
      <c r="N486" s="0" t="n">
        <v>0</v>
      </c>
      <c r="O486" s="8" t="n">
        <f aca="false">ROUND(I486+L486,2)</f>
        <v>3.1</v>
      </c>
      <c r="P486" s="8" t="n">
        <f aca="false">ROUND(J486+M486,2)</f>
        <v>1.5</v>
      </c>
      <c r="Q486" s="8" t="n">
        <f aca="false">ROUND(K486+N486,2)</f>
        <v>0.4</v>
      </c>
    </row>
    <row r="487" customFormat="false" ht="15" hidden="false" customHeight="false" outlineLevel="0" collapsed="false">
      <c r="A487" s="0" t="s">
        <v>719</v>
      </c>
      <c r="B487" s="0" t="s">
        <v>102</v>
      </c>
      <c r="C487" s="0" t="s">
        <v>102</v>
      </c>
      <c r="D487" s="0" t="s">
        <v>234</v>
      </c>
      <c r="E487" s="3" t="s">
        <v>210</v>
      </c>
      <c r="G487" s="8" t="s">
        <v>396</v>
      </c>
      <c r="H487" s="0" t="n">
        <v>9.6</v>
      </c>
      <c r="I487" s="0" t="n">
        <v>3.1</v>
      </c>
      <c r="J487" s="0" t="n">
        <v>1.7</v>
      </c>
      <c r="K487" s="0" t="n">
        <v>0.9</v>
      </c>
      <c r="L487" s="0" t="n">
        <v>0</v>
      </c>
      <c r="M487" s="0" t="n">
        <v>0</v>
      </c>
      <c r="N487" s="0" t="n">
        <v>0</v>
      </c>
      <c r="O487" s="8" t="n">
        <f aca="false">ROUND(I487+L487,2)</f>
        <v>3.1</v>
      </c>
      <c r="P487" s="8" t="n">
        <f aca="false">ROUND(J487+M487,2)</f>
        <v>1.7</v>
      </c>
      <c r="Q487" s="8" t="n">
        <f aca="false">ROUND(K487+N487,2)</f>
        <v>0.9</v>
      </c>
    </row>
    <row r="488" customFormat="false" ht="15" hidden="false" customHeight="false" outlineLevel="0" collapsed="false">
      <c r="A488" s="0" t="s">
        <v>720</v>
      </c>
      <c r="B488" s="0" t="s">
        <v>142</v>
      </c>
      <c r="C488" s="0" t="s">
        <v>142</v>
      </c>
      <c r="D488" s="0" t="s">
        <v>234</v>
      </c>
      <c r="E488" s="3" t="s">
        <v>210</v>
      </c>
      <c r="G488" s="8" t="s">
        <v>396</v>
      </c>
      <c r="H488" s="0" t="n">
        <v>3.7</v>
      </c>
      <c r="I488" s="0" t="n">
        <v>3.1</v>
      </c>
      <c r="J488" s="0" t="n">
        <v>0.3</v>
      </c>
      <c r="K488" s="0" t="n">
        <v>0.3</v>
      </c>
      <c r="L488" s="0" t="n">
        <v>0</v>
      </c>
      <c r="M488" s="0" t="n">
        <v>0</v>
      </c>
      <c r="N488" s="0" t="n">
        <v>0</v>
      </c>
      <c r="O488" s="8" t="n">
        <f aca="false">ROUND(I488+L488,2)</f>
        <v>3.1</v>
      </c>
      <c r="P488" s="8" t="n">
        <f aca="false">ROUND(J488+M488,2)</f>
        <v>0.3</v>
      </c>
      <c r="Q488" s="8" t="n">
        <f aca="false">ROUND(K488+N488,2)</f>
        <v>0.3</v>
      </c>
    </row>
    <row r="489" customFormat="false" ht="15" hidden="false" customHeight="false" outlineLevel="0" collapsed="false">
      <c r="A489" s="0" t="s">
        <v>721</v>
      </c>
      <c r="B489" s="0" t="s">
        <v>106</v>
      </c>
      <c r="C489" s="0" t="s">
        <v>106</v>
      </c>
      <c r="D489" s="0" t="s">
        <v>243</v>
      </c>
      <c r="E489" s="3" t="s">
        <v>208</v>
      </c>
      <c r="G489" s="8" t="s">
        <v>235</v>
      </c>
      <c r="H489" s="0" t="n">
        <v>14.6</v>
      </c>
      <c r="I489" s="0" t="n">
        <v>3</v>
      </c>
      <c r="J489" s="0" t="n">
        <v>1.1</v>
      </c>
      <c r="K489" s="0" t="n">
        <v>2.4</v>
      </c>
      <c r="L489" s="0" t="n">
        <v>0</v>
      </c>
      <c r="M489" s="0" t="n">
        <v>0</v>
      </c>
      <c r="N489" s="0" t="n">
        <v>0</v>
      </c>
      <c r="O489" s="8" t="n">
        <f aca="false">ROUND(I489+L489,2)</f>
        <v>3</v>
      </c>
      <c r="P489" s="8" t="n">
        <f aca="false">ROUND(J489+M489,2)</f>
        <v>1.1</v>
      </c>
      <c r="Q489" s="8" t="n">
        <f aca="false">ROUND(K489+N489,2)</f>
        <v>2.4</v>
      </c>
    </row>
    <row r="490" customFormat="false" ht="15" hidden="false" customHeight="false" outlineLevel="0" collapsed="false">
      <c r="A490" s="0" t="s">
        <v>722</v>
      </c>
      <c r="B490" s="0" t="s">
        <v>169</v>
      </c>
      <c r="C490" s="0" t="s">
        <v>169</v>
      </c>
      <c r="D490" s="0" t="s">
        <v>234</v>
      </c>
      <c r="E490" s="3" t="s">
        <v>210</v>
      </c>
      <c r="G490" s="8" t="s">
        <v>396</v>
      </c>
      <c r="H490" s="0" t="n">
        <v>10</v>
      </c>
      <c r="I490" s="0" t="n">
        <v>3</v>
      </c>
      <c r="J490" s="0" t="n">
        <v>1.3</v>
      </c>
      <c r="K490" s="0" t="n">
        <v>0.5</v>
      </c>
      <c r="L490" s="0" t="n">
        <v>0.153</v>
      </c>
      <c r="M490" s="0" t="n">
        <v>0.044</v>
      </c>
      <c r="N490" s="0" t="n">
        <v>0.03</v>
      </c>
      <c r="O490" s="8" t="n">
        <f aca="false">ROUND(I490+L490,2)</f>
        <v>3.15</v>
      </c>
      <c r="P490" s="8" t="n">
        <f aca="false">ROUND(J490+M490,2)</f>
        <v>1.34</v>
      </c>
      <c r="Q490" s="8" t="n">
        <f aca="false">ROUND(K490+N490,2)</f>
        <v>0.53</v>
      </c>
    </row>
    <row r="491" customFormat="false" ht="15" hidden="false" customHeight="false" outlineLevel="0" collapsed="false">
      <c r="A491" s="0" t="s">
        <v>723</v>
      </c>
      <c r="B491" s="0" t="s">
        <v>98</v>
      </c>
      <c r="C491" s="0" t="s">
        <v>98</v>
      </c>
      <c r="D491" s="0" t="s">
        <v>234</v>
      </c>
      <c r="E491" s="3" t="s">
        <v>210</v>
      </c>
      <c r="G491" s="8" t="s">
        <v>396</v>
      </c>
      <c r="H491" s="0" t="n">
        <v>5.7</v>
      </c>
      <c r="I491" s="0" t="n">
        <v>3</v>
      </c>
      <c r="J491" s="0" t="n">
        <v>1</v>
      </c>
      <c r="K491" s="0" t="n">
        <v>0.3</v>
      </c>
      <c r="L491" s="0" t="n">
        <v>0</v>
      </c>
      <c r="M491" s="0" t="n">
        <v>0</v>
      </c>
      <c r="N491" s="0" t="n">
        <v>0</v>
      </c>
      <c r="O491" s="8" t="n">
        <f aca="false">ROUND(I491+L491,2)</f>
        <v>3</v>
      </c>
      <c r="P491" s="8" t="n">
        <f aca="false">ROUND(J491+M491,2)</f>
        <v>1</v>
      </c>
      <c r="Q491" s="8" t="n">
        <f aca="false">ROUND(K491+N491,2)</f>
        <v>0.3</v>
      </c>
    </row>
    <row r="492" customFormat="false" ht="15" hidden="false" customHeight="false" outlineLevel="0" collapsed="false">
      <c r="A492" s="0" t="s">
        <v>724</v>
      </c>
      <c r="B492" s="0" t="s">
        <v>169</v>
      </c>
      <c r="C492" s="0" t="s">
        <v>169</v>
      </c>
      <c r="D492" s="0" t="s">
        <v>234</v>
      </c>
      <c r="E492" s="3" t="s">
        <v>212</v>
      </c>
      <c r="G492" s="8" t="s">
        <v>396</v>
      </c>
      <c r="H492" s="0" t="n">
        <v>8.9</v>
      </c>
      <c r="I492" s="0" t="n">
        <v>3</v>
      </c>
      <c r="J492" s="0" t="n">
        <v>2.9</v>
      </c>
      <c r="K492" s="0" t="n">
        <v>0.1</v>
      </c>
      <c r="L492" s="0" t="n">
        <v>0</v>
      </c>
      <c r="M492" s="0" t="n">
        <v>0</v>
      </c>
      <c r="N492" s="0" t="n">
        <v>0</v>
      </c>
      <c r="O492" s="8" t="n">
        <f aca="false">ROUND(I492+L492,2)</f>
        <v>3</v>
      </c>
      <c r="P492" s="8" t="n">
        <f aca="false">ROUND(J492+M492,2)</f>
        <v>2.9</v>
      </c>
      <c r="Q492" s="8" t="n">
        <f aca="false">ROUND(K492+N492,2)</f>
        <v>0.1</v>
      </c>
    </row>
    <row r="493" customFormat="false" ht="15" hidden="false" customHeight="false" outlineLevel="0" collapsed="false">
      <c r="A493" s="0" t="s">
        <v>725</v>
      </c>
      <c r="B493" s="0" t="s">
        <v>94</v>
      </c>
      <c r="C493" s="0" t="s">
        <v>94</v>
      </c>
      <c r="D493" s="0" t="s">
        <v>234</v>
      </c>
      <c r="E493" s="3" t="s">
        <v>209</v>
      </c>
      <c r="G493" s="8" t="s">
        <v>396</v>
      </c>
      <c r="H493" s="0" t="n">
        <v>6.6</v>
      </c>
      <c r="I493" s="0" t="n">
        <v>3</v>
      </c>
      <c r="J493" s="0" t="n">
        <v>0.6</v>
      </c>
      <c r="K493" s="0" t="n">
        <v>0.8</v>
      </c>
      <c r="L493" s="0" t="n">
        <v>0</v>
      </c>
      <c r="M493" s="0" t="n">
        <v>0</v>
      </c>
      <c r="N493" s="0" t="n">
        <v>0</v>
      </c>
      <c r="O493" s="8" t="n">
        <f aca="false">ROUND(I493+L493,2)</f>
        <v>3</v>
      </c>
      <c r="P493" s="8" t="n">
        <f aca="false">ROUND(J493+M493,2)</f>
        <v>0.6</v>
      </c>
      <c r="Q493" s="8" t="n">
        <f aca="false">ROUND(K493+N493,2)</f>
        <v>0.8</v>
      </c>
    </row>
    <row r="494" customFormat="false" ht="15" hidden="false" customHeight="false" outlineLevel="0" collapsed="false">
      <c r="A494" s="0" t="s">
        <v>726</v>
      </c>
      <c r="B494" s="0" t="s">
        <v>122</v>
      </c>
      <c r="C494" s="0" t="s">
        <v>122</v>
      </c>
      <c r="D494" s="0" t="s">
        <v>234</v>
      </c>
      <c r="E494" s="3" t="s">
        <v>209</v>
      </c>
      <c r="G494" s="8" t="s">
        <v>396</v>
      </c>
      <c r="H494" s="0" t="n">
        <v>10.8</v>
      </c>
      <c r="I494" s="0" t="n">
        <v>3</v>
      </c>
      <c r="J494" s="0" t="n">
        <v>1.2</v>
      </c>
      <c r="K494" s="0" t="n">
        <v>1.5</v>
      </c>
      <c r="L494" s="0" t="n">
        <v>0.18</v>
      </c>
      <c r="M494" s="0" t="n">
        <v>0.072</v>
      </c>
      <c r="N494" s="0" t="n">
        <v>0.09</v>
      </c>
      <c r="O494" s="8" t="n">
        <f aca="false">ROUND(I494+L494,2)</f>
        <v>3.18</v>
      </c>
      <c r="P494" s="8" t="n">
        <f aca="false">ROUND(J494+M494,2)</f>
        <v>1.27</v>
      </c>
      <c r="Q494" s="8" t="n">
        <f aca="false">ROUND(K494+N494,2)</f>
        <v>1.59</v>
      </c>
    </row>
    <row r="495" customFormat="false" ht="15" hidden="false" customHeight="false" outlineLevel="0" collapsed="false">
      <c r="A495" s="0" t="s">
        <v>727</v>
      </c>
      <c r="B495" s="0" t="s">
        <v>146</v>
      </c>
      <c r="C495" s="0" t="s">
        <v>146</v>
      </c>
      <c r="D495" s="0" t="s">
        <v>234</v>
      </c>
      <c r="E495" s="3" t="s">
        <v>210</v>
      </c>
      <c r="G495" s="8" t="s">
        <v>396</v>
      </c>
      <c r="H495" s="0" t="n">
        <v>8.9</v>
      </c>
      <c r="I495" s="0" t="n">
        <v>2.9</v>
      </c>
      <c r="J495" s="0" t="n">
        <v>1</v>
      </c>
      <c r="K495" s="0" t="n">
        <v>0.2</v>
      </c>
      <c r="L495" s="0" t="n">
        <v>0</v>
      </c>
      <c r="M495" s="0" t="n">
        <v>0</v>
      </c>
      <c r="N495" s="0" t="n">
        <v>0</v>
      </c>
      <c r="O495" s="8" t="n">
        <f aca="false">ROUND(I495+L495,2)</f>
        <v>2.9</v>
      </c>
      <c r="P495" s="8" t="n">
        <f aca="false">ROUND(J495+M495,2)</f>
        <v>1</v>
      </c>
      <c r="Q495" s="8" t="n">
        <f aca="false">ROUND(K495+N495,2)</f>
        <v>0.2</v>
      </c>
    </row>
    <row r="496" customFormat="false" ht="15" hidden="false" customHeight="false" outlineLevel="0" collapsed="false">
      <c r="A496" s="0" t="s">
        <v>728</v>
      </c>
      <c r="B496" s="0" t="s">
        <v>130</v>
      </c>
      <c r="C496" s="0" t="s">
        <v>130</v>
      </c>
      <c r="D496" s="0" t="s">
        <v>234</v>
      </c>
      <c r="E496" s="3" t="s">
        <v>210</v>
      </c>
      <c r="G496" s="8" t="s">
        <v>396</v>
      </c>
      <c r="H496" s="0" t="n">
        <v>7.4</v>
      </c>
      <c r="I496" s="0" t="n">
        <v>2.9</v>
      </c>
      <c r="J496" s="0" t="n">
        <v>0.8</v>
      </c>
      <c r="K496" s="0" t="n">
        <v>0.6</v>
      </c>
      <c r="L496" s="0" t="n">
        <v>0</v>
      </c>
      <c r="M496" s="0" t="n">
        <v>0</v>
      </c>
      <c r="N496" s="0" t="n">
        <v>0</v>
      </c>
      <c r="O496" s="8" t="n">
        <f aca="false">ROUND(I496+L496,2)</f>
        <v>2.9</v>
      </c>
      <c r="P496" s="8" t="n">
        <f aca="false">ROUND(J496+M496,2)</f>
        <v>0.8</v>
      </c>
      <c r="Q496" s="8" t="n">
        <f aca="false">ROUND(K496+N496,2)</f>
        <v>0.6</v>
      </c>
    </row>
    <row r="497" customFormat="false" ht="15" hidden="false" customHeight="false" outlineLevel="0" collapsed="false">
      <c r="A497" s="0" t="s">
        <v>729</v>
      </c>
      <c r="B497" s="0" t="s">
        <v>130</v>
      </c>
      <c r="C497" s="0" t="s">
        <v>130</v>
      </c>
      <c r="D497" s="0" t="s">
        <v>234</v>
      </c>
      <c r="E497" s="3" t="s">
        <v>209</v>
      </c>
      <c r="G497" s="8" t="s">
        <v>396</v>
      </c>
      <c r="H497" s="0" t="n">
        <v>8.9</v>
      </c>
      <c r="I497" s="0" t="n">
        <v>2.9</v>
      </c>
      <c r="J497" s="0" t="n">
        <v>0.5</v>
      </c>
      <c r="K497" s="0" t="n">
        <v>1.2</v>
      </c>
      <c r="L497" s="0" t="n">
        <v>0</v>
      </c>
      <c r="M497" s="0" t="n">
        <v>0</v>
      </c>
      <c r="N497" s="0" t="n">
        <v>0</v>
      </c>
      <c r="O497" s="8" t="n">
        <f aca="false">ROUND(I497+L497,2)</f>
        <v>2.9</v>
      </c>
      <c r="P497" s="8" t="n">
        <f aca="false">ROUND(J497+M497,2)</f>
        <v>0.5</v>
      </c>
      <c r="Q497" s="8" t="n">
        <f aca="false">ROUND(K497+N497,2)</f>
        <v>1.2</v>
      </c>
    </row>
    <row r="498" customFormat="false" ht="15" hidden="false" customHeight="false" outlineLevel="0" collapsed="false">
      <c r="A498" s="0" t="s">
        <v>730</v>
      </c>
      <c r="B498" s="0" t="s">
        <v>106</v>
      </c>
      <c r="C498" s="0" t="s">
        <v>106</v>
      </c>
      <c r="D498" s="0" t="s">
        <v>234</v>
      </c>
      <c r="E498" s="3" t="s">
        <v>209</v>
      </c>
      <c r="G498" s="8" t="s">
        <v>396</v>
      </c>
      <c r="H498" s="0" t="n">
        <v>8.8</v>
      </c>
      <c r="I498" s="0" t="n">
        <v>2.9</v>
      </c>
      <c r="J498" s="0" t="n">
        <v>1.1</v>
      </c>
      <c r="K498" s="0" t="n">
        <v>1</v>
      </c>
      <c r="L498" s="0" t="n">
        <v>0</v>
      </c>
      <c r="M498" s="0" t="n">
        <v>0</v>
      </c>
      <c r="N498" s="0" t="n">
        <v>0</v>
      </c>
      <c r="O498" s="8" t="n">
        <f aca="false">ROUND(I498+L498,2)</f>
        <v>2.9</v>
      </c>
      <c r="P498" s="8" t="n">
        <f aca="false">ROUND(J498+M498,2)</f>
        <v>1.1</v>
      </c>
      <c r="Q498" s="8" t="n">
        <f aca="false">ROUND(K498+N498,2)</f>
        <v>1</v>
      </c>
    </row>
    <row r="499" customFormat="false" ht="15" hidden="false" customHeight="false" outlineLevel="0" collapsed="false">
      <c r="A499" s="0" t="s">
        <v>731</v>
      </c>
      <c r="B499" s="0" t="s">
        <v>180</v>
      </c>
      <c r="C499" s="0" t="s">
        <v>180</v>
      </c>
      <c r="D499" s="0" t="s">
        <v>234</v>
      </c>
      <c r="E499" s="3" t="s">
        <v>210</v>
      </c>
      <c r="G499" s="8" t="s">
        <v>396</v>
      </c>
      <c r="H499" s="0" t="n">
        <v>6.2</v>
      </c>
      <c r="I499" s="0" t="n">
        <v>2.9</v>
      </c>
      <c r="J499" s="0" t="n">
        <v>1.2</v>
      </c>
      <c r="K499" s="0" t="n">
        <v>1.6</v>
      </c>
      <c r="L499" s="0" t="n">
        <v>0</v>
      </c>
      <c r="M499" s="0" t="n">
        <v>0</v>
      </c>
      <c r="N499" s="0" t="n">
        <v>0</v>
      </c>
      <c r="O499" s="8" t="n">
        <f aca="false">ROUND(I499+L499,2)</f>
        <v>2.9</v>
      </c>
      <c r="P499" s="8" t="n">
        <f aca="false">ROUND(J499+M499,2)</f>
        <v>1.2</v>
      </c>
      <c r="Q499" s="8" t="n">
        <f aca="false">ROUND(K499+N499,2)</f>
        <v>1.6</v>
      </c>
    </row>
    <row r="500" customFormat="false" ht="15" hidden="false" customHeight="false" outlineLevel="0" collapsed="false">
      <c r="A500" s="0" t="s">
        <v>732</v>
      </c>
      <c r="B500" s="0" t="s">
        <v>126</v>
      </c>
      <c r="C500" s="0" t="s">
        <v>126</v>
      </c>
      <c r="D500" s="0" t="s">
        <v>234</v>
      </c>
      <c r="E500" s="3" t="s">
        <v>208</v>
      </c>
      <c r="G500" s="8" t="s">
        <v>396</v>
      </c>
      <c r="H500" s="0" t="n">
        <v>14.3</v>
      </c>
      <c r="I500" s="0" t="n">
        <v>2.9</v>
      </c>
      <c r="J500" s="0" t="n">
        <v>1.8</v>
      </c>
      <c r="K500" s="0" t="n">
        <v>3.3</v>
      </c>
      <c r="L500" s="0" t="n">
        <v>0.174</v>
      </c>
      <c r="M500" s="0" t="n">
        <v>0.108</v>
      </c>
      <c r="N500" s="0" t="n">
        <v>0.198</v>
      </c>
      <c r="O500" s="8" t="n">
        <f aca="false">ROUND(I500+L500,2)</f>
        <v>3.07</v>
      </c>
      <c r="P500" s="8" t="n">
        <f aca="false">ROUND(J500+M500,2)</f>
        <v>1.91</v>
      </c>
      <c r="Q500" s="8" t="n">
        <f aca="false">ROUND(K500+N500,2)</f>
        <v>3.5</v>
      </c>
    </row>
    <row r="501" customFormat="false" ht="15" hidden="false" customHeight="false" outlineLevel="0" collapsed="false">
      <c r="A501" s="0" t="s">
        <v>733</v>
      </c>
      <c r="B501" s="0" t="s">
        <v>173</v>
      </c>
      <c r="C501" s="0" t="s">
        <v>173</v>
      </c>
      <c r="D501" s="0" t="s">
        <v>234</v>
      </c>
      <c r="E501" s="3" t="s">
        <v>210</v>
      </c>
      <c r="G501" s="8" t="s">
        <v>396</v>
      </c>
      <c r="H501" s="0" t="n">
        <v>8.1</v>
      </c>
      <c r="I501" s="0" t="n">
        <v>2.9</v>
      </c>
      <c r="J501" s="0" t="n">
        <v>1.2</v>
      </c>
      <c r="K501" s="0" t="n">
        <v>0.3</v>
      </c>
      <c r="L501" s="0" t="n">
        <v>0</v>
      </c>
      <c r="M501" s="0" t="n">
        <v>0</v>
      </c>
      <c r="N501" s="0" t="n">
        <v>0</v>
      </c>
      <c r="O501" s="8" t="n">
        <f aca="false">ROUND(I501+L501,2)</f>
        <v>2.9</v>
      </c>
      <c r="P501" s="8" t="n">
        <f aca="false">ROUND(J501+M501,2)</f>
        <v>1.2</v>
      </c>
      <c r="Q501" s="8" t="n">
        <f aca="false">ROUND(K501+N501,2)</f>
        <v>0.3</v>
      </c>
    </row>
    <row r="502" customFormat="false" ht="15" hidden="false" customHeight="false" outlineLevel="0" collapsed="false">
      <c r="A502" s="0" t="s">
        <v>734</v>
      </c>
      <c r="B502" s="0" t="s">
        <v>126</v>
      </c>
      <c r="C502" s="0" t="s">
        <v>126</v>
      </c>
      <c r="D502" s="0" t="s">
        <v>234</v>
      </c>
      <c r="E502" s="3" t="s">
        <v>210</v>
      </c>
      <c r="G502" s="8" t="s">
        <v>396</v>
      </c>
      <c r="H502" s="0" t="n">
        <v>8.7</v>
      </c>
      <c r="I502" s="0" t="n">
        <v>2.8</v>
      </c>
      <c r="J502" s="0" t="n">
        <v>1.4</v>
      </c>
      <c r="K502" s="0" t="n">
        <v>0.6</v>
      </c>
      <c r="L502" s="0" t="n">
        <v>0</v>
      </c>
      <c r="M502" s="0" t="n">
        <v>0</v>
      </c>
      <c r="N502" s="0" t="n">
        <v>0</v>
      </c>
      <c r="O502" s="8" t="n">
        <f aca="false">ROUND(I502+L502,2)</f>
        <v>2.8</v>
      </c>
      <c r="P502" s="8" t="n">
        <f aca="false">ROUND(J502+M502,2)</f>
        <v>1.4</v>
      </c>
      <c r="Q502" s="8" t="n">
        <f aca="false">ROUND(K502+N502,2)</f>
        <v>0.6</v>
      </c>
    </row>
    <row r="503" customFormat="false" ht="15" hidden="false" customHeight="false" outlineLevel="0" collapsed="false">
      <c r="A503" s="0" t="s">
        <v>735</v>
      </c>
      <c r="B503" s="0" t="s">
        <v>150</v>
      </c>
      <c r="C503" s="0" t="s">
        <v>130</v>
      </c>
      <c r="D503" s="0" t="s">
        <v>239</v>
      </c>
      <c r="E503" s="3" t="s">
        <v>212</v>
      </c>
      <c r="G503" s="8" t="s">
        <v>396</v>
      </c>
      <c r="H503" s="0" t="n">
        <v>14.7</v>
      </c>
      <c r="I503" s="0" t="n">
        <v>2.8</v>
      </c>
      <c r="J503" s="0" t="n">
        <v>5.6</v>
      </c>
      <c r="K503" s="0" t="n">
        <v>1.6</v>
      </c>
      <c r="L503" s="0" t="n">
        <v>0</v>
      </c>
      <c r="M503" s="0" t="n">
        <v>0</v>
      </c>
      <c r="N503" s="0" t="n">
        <v>0</v>
      </c>
      <c r="O503" s="8" t="n">
        <f aca="false">ROUND(I503+L503,2)</f>
        <v>2.8</v>
      </c>
      <c r="P503" s="8" t="n">
        <f aca="false">ROUND(J503+M503,2)</f>
        <v>5.6</v>
      </c>
      <c r="Q503" s="8" t="n">
        <f aca="false">ROUND(K503+N503,2)</f>
        <v>1.6</v>
      </c>
    </row>
    <row r="504" customFormat="false" ht="15" hidden="false" customHeight="false" outlineLevel="0" collapsed="false">
      <c r="A504" s="0" t="s">
        <v>736</v>
      </c>
      <c r="B504" s="0" t="s">
        <v>126</v>
      </c>
      <c r="C504" s="0" t="s">
        <v>126</v>
      </c>
      <c r="D504" s="0" t="s">
        <v>234</v>
      </c>
      <c r="E504" s="3" t="s">
        <v>212</v>
      </c>
      <c r="G504" s="8" t="s">
        <v>396</v>
      </c>
      <c r="H504" s="0" t="n">
        <v>4</v>
      </c>
      <c r="I504" s="0" t="n">
        <v>2.8</v>
      </c>
      <c r="J504" s="0" t="n">
        <v>1.2</v>
      </c>
      <c r="K504" s="0" t="n">
        <v>0.3</v>
      </c>
      <c r="L504" s="0" t="n">
        <v>0</v>
      </c>
      <c r="M504" s="0" t="n">
        <v>0</v>
      </c>
      <c r="N504" s="0" t="n">
        <v>0</v>
      </c>
      <c r="O504" s="8" t="n">
        <f aca="false">ROUND(I504+L504,2)</f>
        <v>2.8</v>
      </c>
      <c r="P504" s="8" t="n">
        <f aca="false">ROUND(J504+M504,2)</f>
        <v>1.2</v>
      </c>
      <c r="Q504" s="8" t="n">
        <f aca="false">ROUND(K504+N504,2)</f>
        <v>0.3</v>
      </c>
    </row>
    <row r="505" customFormat="false" ht="15" hidden="false" customHeight="false" outlineLevel="0" collapsed="false">
      <c r="A505" s="0" t="s">
        <v>737</v>
      </c>
      <c r="B505" s="0" t="s">
        <v>118</v>
      </c>
      <c r="C505" s="0" t="s">
        <v>118</v>
      </c>
      <c r="D505" s="0" t="s">
        <v>243</v>
      </c>
      <c r="E505" s="3" t="s">
        <v>210</v>
      </c>
      <c r="G505" s="8" t="s">
        <v>396</v>
      </c>
      <c r="H505" s="0" t="n">
        <v>8.8</v>
      </c>
      <c r="I505" s="0" t="n">
        <v>2.8</v>
      </c>
      <c r="J505" s="0" t="n">
        <v>1.6</v>
      </c>
      <c r="K505" s="0" t="n">
        <v>0.5</v>
      </c>
      <c r="L505" s="0" t="n">
        <v>0</v>
      </c>
      <c r="M505" s="0" t="n">
        <v>0</v>
      </c>
      <c r="N505" s="0" t="n">
        <v>0</v>
      </c>
      <c r="O505" s="8" t="n">
        <f aca="false">ROUND(I505+L505,2)</f>
        <v>2.8</v>
      </c>
      <c r="P505" s="8" t="n">
        <f aca="false">ROUND(J505+M505,2)</f>
        <v>1.6</v>
      </c>
      <c r="Q505" s="8" t="n">
        <f aca="false">ROUND(K505+N505,2)</f>
        <v>0.5</v>
      </c>
    </row>
    <row r="506" customFormat="false" ht="15" hidden="false" customHeight="false" outlineLevel="0" collapsed="false">
      <c r="A506" s="0" t="s">
        <v>738</v>
      </c>
      <c r="B506" s="0" t="s">
        <v>146</v>
      </c>
      <c r="C506" s="0" t="s">
        <v>146</v>
      </c>
      <c r="D506" s="0" t="s">
        <v>234</v>
      </c>
      <c r="E506" s="3" t="s">
        <v>212</v>
      </c>
      <c r="G506" s="8" t="s">
        <v>396</v>
      </c>
      <c r="H506" s="0" t="n">
        <v>7.2</v>
      </c>
      <c r="I506" s="0" t="n">
        <v>2.8</v>
      </c>
      <c r="J506" s="0" t="n">
        <v>2.8</v>
      </c>
      <c r="K506" s="0" t="n">
        <v>0.4</v>
      </c>
      <c r="L506" s="0" t="n">
        <v>0</v>
      </c>
      <c r="M506" s="0" t="n">
        <v>0</v>
      </c>
      <c r="N506" s="0" t="n">
        <v>0</v>
      </c>
      <c r="O506" s="8" t="n">
        <f aca="false">ROUND(I506+L506,2)</f>
        <v>2.8</v>
      </c>
      <c r="P506" s="8" t="n">
        <f aca="false">ROUND(J506+M506,2)</f>
        <v>2.8</v>
      </c>
      <c r="Q506" s="8" t="n">
        <f aca="false">ROUND(K506+N506,2)</f>
        <v>0.4</v>
      </c>
    </row>
    <row r="507" customFormat="false" ht="15" hidden="false" customHeight="false" outlineLevel="0" collapsed="false">
      <c r="A507" s="0" t="s">
        <v>739</v>
      </c>
      <c r="B507" s="0" t="s">
        <v>79</v>
      </c>
      <c r="C507" s="0" t="s">
        <v>79</v>
      </c>
      <c r="D507" s="0" t="s">
        <v>234</v>
      </c>
      <c r="E507" s="3" t="s">
        <v>211</v>
      </c>
      <c r="G507" s="8" t="s">
        <v>396</v>
      </c>
      <c r="H507" s="0" t="n">
        <v>13.2</v>
      </c>
      <c r="I507" s="0" t="n">
        <v>2.7</v>
      </c>
      <c r="J507" s="0" t="n">
        <v>3</v>
      </c>
      <c r="K507" s="0" t="n">
        <v>0.7</v>
      </c>
      <c r="L507" s="0" t="n">
        <v>0.162</v>
      </c>
      <c r="M507" s="0" t="n">
        <v>0.18</v>
      </c>
      <c r="N507" s="0" t="n">
        <v>0.042</v>
      </c>
      <c r="O507" s="8" t="n">
        <f aca="false">ROUND(I507+L507,2)</f>
        <v>2.86</v>
      </c>
      <c r="P507" s="8" t="n">
        <f aca="false">ROUND(J507+M507,2)</f>
        <v>3.18</v>
      </c>
      <c r="Q507" s="8" t="n">
        <f aca="false">ROUND(K507+N507,2)</f>
        <v>0.74</v>
      </c>
    </row>
    <row r="508" customFormat="false" ht="15" hidden="false" customHeight="false" outlineLevel="0" collapsed="false">
      <c r="A508" s="0" t="s">
        <v>740</v>
      </c>
      <c r="B508" s="0" t="s">
        <v>142</v>
      </c>
      <c r="C508" s="0" t="s">
        <v>110</v>
      </c>
      <c r="D508" s="0" t="s">
        <v>239</v>
      </c>
      <c r="E508" s="3" t="s">
        <v>210</v>
      </c>
      <c r="G508" s="8" t="s">
        <v>396</v>
      </c>
      <c r="H508" s="0" t="n">
        <v>13.8</v>
      </c>
      <c r="I508" s="0" t="n">
        <v>2.7</v>
      </c>
      <c r="J508" s="0" t="n">
        <v>1.3</v>
      </c>
      <c r="K508" s="0" t="n">
        <v>1.1</v>
      </c>
      <c r="L508" s="0" t="n">
        <v>0</v>
      </c>
      <c r="M508" s="0" t="n">
        <v>0</v>
      </c>
      <c r="N508" s="0" t="n">
        <v>0</v>
      </c>
      <c r="O508" s="8" t="n">
        <f aca="false">ROUND(I508+L508,2)</f>
        <v>2.7</v>
      </c>
      <c r="P508" s="8" t="n">
        <f aca="false">ROUND(J508+M508,2)</f>
        <v>1.3</v>
      </c>
      <c r="Q508" s="8" t="n">
        <f aca="false">ROUND(K508+N508,2)</f>
        <v>1.1</v>
      </c>
    </row>
    <row r="509" customFormat="false" ht="15" hidden="false" customHeight="false" outlineLevel="0" collapsed="false">
      <c r="A509" s="0" t="s">
        <v>741</v>
      </c>
      <c r="B509" s="0" t="s">
        <v>91</v>
      </c>
      <c r="C509" s="0" t="s">
        <v>91</v>
      </c>
      <c r="D509" s="0" t="s">
        <v>234</v>
      </c>
      <c r="E509" s="3" t="s">
        <v>210</v>
      </c>
      <c r="G509" s="8" t="s">
        <v>396</v>
      </c>
      <c r="H509" s="0" t="n">
        <v>6.8</v>
      </c>
      <c r="I509" s="0" t="n">
        <v>2.7</v>
      </c>
      <c r="J509" s="0" t="n">
        <v>0.8</v>
      </c>
      <c r="K509" s="0" t="n">
        <v>0.3</v>
      </c>
      <c r="L509" s="0" t="n">
        <v>0</v>
      </c>
      <c r="M509" s="0" t="n">
        <v>0</v>
      </c>
      <c r="N509" s="0" t="n">
        <v>0</v>
      </c>
      <c r="O509" s="8" t="n">
        <f aca="false">ROUND(I509+L509,2)</f>
        <v>2.7</v>
      </c>
      <c r="P509" s="8" t="n">
        <f aca="false">ROUND(J509+M509,2)</f>
        <v>0.8</v>
      </c>
      <c r="Q509" s="8" t="n">
        <f aca="false">ROUND(K509+N509,2)</f>
        <v>0.3</v>
      </c>
    </row>
    <row r="510" customFormat="false" ht="15" hidden="false" customHeight="false" outlineLevel="0" collapsed="false">
      <c r="A510" s="0" t="s">
        <v>742</v>
      </c>
      <c r="B510" s="0" t="s">
        <v>91</v>
      </c>
      <c r="C510" s="0" t="s">
        <v>91</v>
      </c>
      <c r="D510" s="0" t="s">
        <v>234</v>
      </c>
      <c r="E510" s="3" t="s">
        <v>211</v>
      </c>
      <c r="G510" s="8" t="s">
        <v>396</v>
      </c>
      <c r="H510" s="0" t="n">
        <v>7.1</v>
      </c>
      <c r="I510" s="0" t="n">
        <v>2.6</v>
      </c>
      <c r="J510" s="0" t="n">
        <v>1.5</v>
      </c>
      <c r="K510" s="0" t="n">
        <v>0.4</v>
      </c>
      <c r="L510" s="0" t="n">
        <v>0</v>
      </c>
      <c r="M510" s="0" t="n">
        <v>0</v>
      </c>
      <c r="N510" s="0" t="n">
        <v>0</v>
      </c>
      <c r="O510" s="8" t="n">
        <f aca="false">ROUND(I510+L510,2)</f>
        <v>2.6</v>
      </c>
      <c r="P510" s="8" t="n">
        <f aca="false">ROUND(J510+M510,2)</f>
        <v>1.5</v>
      </c>
      <c r="Q510" s="8" t="n">
        <f aca="false">ROUND(K510+N510,2)</f>
        <v>0.4</v>
      </c>
    </row>
    <row r="511" customFormat="false" ht="15" hidden="false" customHeight="false" outlineLevel="0" collapsed="false">
      <c r="A511" s="0" t="s">
        <v>743</v>
      </c>
      <c r="B511" s="0" t="s">
        <v>161</v>
      </c>
      <c r="C511" s="0" t="s">
        <v>161</v>
      </c>
      <c r="D511" s="0" t="s">
        <v>243</v>
      </c>
      <c r="E511" s="3" t="s">
        <v>212</v>
      </c>
      <c r="G511" s="8" t="s">
        <v>396</v>
      </c>
      <c r="H511" s="0" t="n">
        <v>10</v>
      </c>
      <c r="I511" s="0" t="n">
        <v>2.6</v>
      </c>
      <c r="J511" s="0" t="n">
        <v>2.5</v>
      </c>
      <c r="K511" s="0" t="n">
        <v>0.4</v>
      </c>
      <c r="L511" s="0" t="n">
        <v>0.01</v>
      </c>
      <c r="M511" s="0" t="n">
        <v>-0.021</v>
      </c>
      <c r="N511" s="0" t="n">
        <v>0.01</v>
      </c>
      <c r="O511" s="8" t="n">
        <f aca="false">ROUND(I511+L511,2)</f>
        <v>2.61</v>
      </c>
      <c r="P511" s="8" t="n">
        <f aca="false">ROUND(J511+M511,2)</f>
        <v>2.48</v>
      </c>
      <c r="Q511" s="8" t="n">
        <f aca="false">ROUND(K511+N511,2)</f>
        <v>0.41</v>
      </c>
    </row>
    <row r="512" customFormat="false" ht="15" hidden="false" customHeight="false" outlineLevel="0" collapsed="false">
      <c r="A512" s="0" t="s">
        <v>744</v>
      </c>
      <c r="B512" s="0" t="s">
        <v>188</v>
      </c>
      <c r="C512" s="0" t="s">
        <v>188</v>
      </c>
      <c r="D512" s="0" t="s">
        <v>243</v>
      </c>
      <c r="E512" s="3" t="s">
        <v>212</v>
      </c>
      <c r="G512" s="8" t="s">
        <v>235</v>
      </c>
      <c r="H512" s="0" t="n">
        <v>11</v>
      </c>
      <c r="I512" s="0" t="n">
        <v>2.5</v>
      </c>
      <c r="J512" s="0" t="n">
        <v>5.5</v>
      </c>
      <c r="K512" s="0" t="n">
        <v>0.3</v>
      </c>
      <c r="L512" s="0" t="n">
        <v>0.15</v>
      </c>
      <c r="M512" s="0" t="n">
        <v>0.33</v>
      </c>
      <c r="N512" s="0" t="n">
        <v>0.018</v>
      </c>
      <c r="O512" s="8" t="n">
        <f aca="false">ROUND(I512+L512,2)</f>
        <v>2.65</v>
      </c>
      <c r="P512" s="8" t="n">
        <f aca="false">ROUND(J512+M512,2)</f>
        <v>5.83</v>
      </c>
      <c r="Q512" s="8" t="n">
        <f aca="false">ROUND(K512+N512,2)</f>
        <v>0.32</v>
      </c>
    </row>
    <row r="513" customFormat="false" ht="15" hidden="false" customHeight="false" outlineLevel="0" collapsed="false">
      <c r="A513" s="0" t="s">
        <v>745</v>
      </c>
      <c r="B513" s="0" t="s">
        <v>118</v>
      </c>
      <c r="C513" s="0" t="s">
        <v>118</v>
      </c>
      <c r="D513" s="0" t="s">
        <v>234</v>
      </c>
      <c r="E513" s="3" t="s">
        <v>208</v>
      </c>
      <c r="G513" s="8" t="s">
        <v>396</v>
      </c>
      <c r="H513" s="0" t="n">
        <v>7.8</v>
      </c>
      <c r="I513" s="0" t="n">
        <v>2.5</v>
      </c>
      <c r="J513" s="0" t="n">
        <v>1.2</v>
      </c>
      <c r="K513" s="0" t="n">
        <v>1.3</v>
      </c>
      <c r="L513" s="0" t="n">
        <v>0</v>
      </c>
      <c r="M513" s="0" t="n">
        <v>0</v>
      </c>
      <c r="N513" s="0" t="n">
        <v>0</v>
      </c>
      <c r="O513" s="8" t="n">
        <f aca="false">ROUND(I513+L513,2)</f>
        <v>2.5</v>
      </c>
      <c r="P513" s="8" t="n">
        <f aca="false">ROUND(J513+M513,2)</f>
        <v>1.2</v>
      </c>
      <c r="Q513" s="8" t="n">
        <f aca="false">ROUND(K513+N513,2)</f>
        <v>1.3</v>
      </c>
    </row>
    <row r="514" customFormat="false" ht="15" hidden="false" customHeight="false" outlineLevel="0" collapsed="false">
      <c r="A514" s="0" t="s">
        <v>746</v>
      </c>
      <c r="B514" s="0" t="s">
        <v>83</v>
      </c>
      <c r="C514" s="0" t="s">
        <v>83</v>
      </c>
      <c r="D514" s="0" t="s">
        <v>234</v>
      </c>
      <c r="E514" s="3" t="s">
        <v>210</v>
      </c>
      <c r="G514" s="8" t="s">
        <v>396</v>
      </c>
      <c r="H514" s="0" t="n">
        <v>7</v>
      </c>
      <c r="I514" s="0" t="n">
        <v>2.5</v>
      </c>
      <c r="J514" s="0" t="n">
        <v>1</v>
      </c>
      <c r="K514" s="0" t="n">
        <v>0.3</v>
      </c>
      <c r="L514" s="0" t="n">
        <v>0</v>
      </c>
      <c r="M514" s="0" t="n">
        <v>0</v>
      </c>
      <c r="N514" s="0" t="n">
        <v>0</v>
      </c>
      <c r="O514" s="8" t="n">
        <f aca="false">ROUND(I514+L514,2)</f>
        <v>2.5</v>
      </c>
      <c r="P514" s="8" t="n">
        <f aca="false">ROUND(J514+M514,2)</f>
        <v>1</v>
      </c>
      <c r="Q514" s="8" t="n">
        <f aca="false">ROUND(K514+N514,2)</f>
        <v>0.3</v>
      </c>
    </row>
    <row r="515" customFormat="false" ht="15" hidden="false" customHeight="false" outlineLevel="0" collapsed="false">
      <c r="A515" s="0" t="s">
        <v>747</v>
      </c>
      <c r="B515" s="0" t="s">
        <v>150</v>
      </c>
      <c r="C515" s="0" t="s">
        <v>150</v>
      </c>
      <c r="D515" s="0" t="s">
        <v>234</v>
      </c>
      <c r="E515" s="3" t="s">
        <v>210</v>
      </c>
      <c r="G515" s="8" t="s">
        <v>396</v>
      </c>
      <c r="H515" s="0" t="n">
        <v>8.4</v>
      </c>
      <c r="I515" s="0" t="n">
        <v>2.4</v>
      </c>
      <c r="J515" s="0" t="n">
        <v>1</v>
      </c>
      <c r="K515" s="0" t="n">
        <v>0.4</v>
      </c>
      <c r="L515" s="0" t="n">
        <v>0</v>
      </c>
      <c r="M515" s="0" t="n">
        <v>0</v>
      </c>
      <c r="N515" s="0" t="n">
        <v>0</v>
      </c>
      <c r="O515" s="8" t="n">
        <f aca="false">ROUND(I515+L515,2)</f>
        <v>2.4</v>
      </c>
      <c r="P515" s="8" t="n">
        <f aca="false">ROUND(J515+M515,2)</f>
        <v>1</v>
      </c>
      <c r="Q515" s="8" t="n">
        <f aca="false">ROUND(K515+N515,2)</f>
        <v>0.4</v>
      </c>
    </row>
    <row r="516" customFormat="false" ht="15" hidden="false" customHeight="false" outlineLevel="0" collapsed="false">
      <c r="A516" s="0" t="s">
        <v>748</v>
      </c>
      <c r="B516" s="0" t="s">
        <v>142</v>
      </c>
      <c r="C516" s="0" t="s">
        <v>142</v>
      </c>
      <c r="D516" s="0" t="s">
        <v>234</v>
      </c>
      <c r="E516" s="3" t="s">
        <v>210</v>
      </c>
      <c r="G516" s="8" t="s">
        <v>396</v>
      </c>
      <c r="H516" s="0" t="n">
        <v>8.5</v>
      </c>
      <c r="I516" s="0" t="n">
        <v>2.4</v>
      </c>
      <c r="J516" s="0" t="n">
        <v>1.5</v>
      </c>
      <c r="K516" s="0" t="n">
        <v>0.9</v>
      </c>
      <c r="L516" s="0" t="n">
        <v>0</v>
      </c>
      <c r="M516" s="0" t="n">
        <v>0</v>
      </c>
      <c r="N516" s="0" t="n">
        <v>0</v>
      </c>
      <c r="O516" s="8" t="n">
        <f aca="false">ROUND(I516+L516,2)</f>
        <v>2.4</v>
      </c>
      <c r="P516" s="8" t="n">
        <f aca="false">ROUND(J516+M516,2)</f>
        <v>1.5</v>
      </c>
      <c r="Q516" s="8" t="n">
        <f aca="false">ROUND(K516+N516,2)</f>
        <v>0.9</v>
      </c>
    </row>
    <row r="517" customFormat="false" ht="15" hidden="false" customHeight="false" outlineLevel="0" collapsed="false">
      <c r="A517" s="0" t="s">
        <v>749</v>
      </c>
      <c r="B517" s="0" t="s">
        <v>110</v>
      </c>
      <c r="C517" s="0" t="s">
        <v>110</v>
      </c>
      <c r="D517" s="0" t="s">
        <v>234</v>
      </c>
      <c r="E517" s="3" t="s">
        <v>210</v>
      </c>
      <c r="G517" s="8" t="s">
        <v>396</v>
      </c>
      <c r="H517" s="0" t="n">
        <v>7.7</v>
      </c>
      <c r="I517" s="0" t="n">
        <v>2.4</v>
      </c>
      <c r="J517" s="0" t="n">
        <v>0.7</v>
      </c>
      <c r="K517" s="0" t="n">
        <v>0.5</v>
      </c>
      <c r="L517" s="0" t="n">
        <v>0</v>
      </c>
      <c r="M517" s="0" t="n">
        <v>0</v>
      </c>
      <c r="N517" s="0" t="n">
        <v>0</v>
      </c>
      <c r="O517" s="8" t="n">
        <f aca="false">ROUND(I517+L517,2)</f>
        <v>2.4</v>
      </c>
      <c r="P517" s="8" t="n">
        <f aca="false">ROUND(J517+M517,2)</f>
        <v>0.7</v>
      </c>
      <c r="Q517" s="8" t="n">
        <f aca="false">ROUND(K517+N517,2)</f>
        <v>0.5</v>
      </c>
    </row>
    <row r="518" customFormat="false" ht="15" hidden="false" customHeight="false" outlineLevel="0" collapsed="false">
      <c r="A518" s="0" t="s">
        <v>750</v>
      </c>
      <c r="B518" s="0" t="s">
        <v>154</v>
      </c>
      <c r="C518" s="0" t="s">
        <v>154</v>
      </c>
      <c r="D518" s="0" t="s">
        <v>234</v>
      </c>
      <c r="E518" s="3" t="s">
        <v>210</v>
      </c>
      <c r="G518" s="8" t="s">
        <v>396</v>
      </c>
      <c r="H518" s="0" t="n">
        <v>7.4</v>
      </c>
      <c r="I518" s="0" t="n">
        <v>2.4</v>
      </c>
      <c r="J518" s="0" t="n">
        <v>1.3</v>
      </c>
      <c r="K518" s="0" t="n">
        <v>1</v>
      </c>
      <c r="L518" s="0" t="n">
        <v>0</v>
      </c>
      <c r="M518" s="0" t="n">
        <v>0</v>
      </c>
      <c r="N518" s="0" t="n">
        <v>0</v>
      </c>
      <c r="O518" s="8" t="n">
        <f aca="false">ROUND(I518+L518,2)</f>
        <v>2.4</v>
      </c>
      <c r="P518" s="8" t="n">
        <f aca="false">ROUND(J518+M518,2)</f>
        <v>1.3</v>
      </c>
      <c r="Q518" s="8" t="n">
        <f aca="false">ROUND(K518+N518,2)</f>
        <v>1</v>
      </c>
    </row>
    <row r="519" customFormat="false" ht="15" hidden="false" customHeight="false" outlineLevel="0" collapsed="false">
      <c r="A519" s="0" t="s">
        <v>751</v>
      </c>
      <c r="B519" s="0" t="s">
        <v>94</v>
      </c>
      <c r="C519" s="0" t="s">
        <v>94</v>
      </c>
      <c r="D519" s="0" t="s">
        <v>234</v>
      </c>
      <c r="E519" s="3" t="s">
        <v>212</v>
      </c>
      <c r="G519" s="8" t="s">
        <v>396</v>
      </c>
      <c r="H519" s="0" t="n">
        <v>9.3</v>
      </c>
      <c r="I519" s="0" t="n">
        <v>2.4</v>
      </c>
      <c r="J519" s="0" t="n">
        <v>3</v>
      </c>
      <c r="K519" s="0" t="n">
        <v>1.1</v>
      </c>
      <c r="L519" s="0" t="n">
        <v>0</v>
      </c>
      <c r="M519" s="0" t="n">
        <v>0</v>
      </c>
      <c r="N519" s="0" t="n">
        <v>0</v>
      </c>
      <c r="O519" s="8" t="n">
        <f aca="false">ROUND(I519+L519,2)</f>
        <v>2.4</v>
      </c>
      <c r="P519" s="8" t="n">
        <f aca="false">ROUND(J519+M519,2)</f>
        <v>3</v>
      </c>
      <c r="Q519" s="8" t="n">
        <f aca="false">ROUND(K519+N519,2)</f>
        <v>1.1</v>
      </c>
    </row>
    <row r="520" customFormat="false" ht="15" hidden="false" customHeight="false" outlineLevel="0" collapsed="false">
      <c r="A520" s="0" t="s">
        <v>752</v>
      </c>
      <c r="B520" s="0" t="s">
        <v>180</v>
      </c>
      <c r="C520" s="0" t="s">
        <v>180</v>
      </c>
      <c r="D520" s="0" t="s">
        <v>234</v>
      </c>
      <c r="E520" s="3" t="s">
        <v>210</v>
      </c>
      <c r="G520" s="8" t="s">
        <v>396</v>
      </c>
      <c r="H520" s="0" t="n">
        <v>7.1</v>
      </c>
      <c r="I520" s="0" t="n">
        <v>2.4</v>
      </c>
      <c r="J520" s="0" t="n">
        <v>0.7</v>
      </c>
      <c r="K520" s="0" t="n">
        <v>0.5</v>
      </c>
      <c r="L520" s="0" t="n">
        <v>0</v>
      </c>
      <c r="M520" s="0" t="n">
        <v>0</v>
      </c>
      <c r="N520" s="0" t="n">
        <v>0</v>
      </c>
      <c r="O520" s="8" t="n">
        <f aca="false">ROUND(I520+L520,2)</f>
        <v>2.4</v>
      </c>
      <c r="P520" s="8" t="n">
        <f aca="false">ROUND(J520+M520,2)</f>
        <v>0.7</v>
      </c>
      <c r="Q520" s="8" t="n">
        <f aca="false">ROUND(K520+N520,2)</f>
        <v>0.5</v>
      </c>
    </row>
    <row r="521" customFormat="false" ht="15" hidden="false" customHeight="false" outlineLevel="0" collapsed="false">
      <c r="A521" s="0" t="s">
        <v>753</v>
      </c>
      <c r="B521" s="0" t="s">
        <v>83</v>
      </c>
      <c r="C521" s="0" t="s">
        <v>83</v>
      </c>
      <c r="D521" s="0" t="s">
        <v>234</v>
      </c>
      <c r="E521" s="3" t="s">
        <v>210</v>
      </c>
      <c r="G521" s="8" t="s">
        <v>396</v>
      </c>
      <c r="H521" s="0" t="n">
        <v>10.4</v>
      </c>
      <c r="I521" s="0" t="n">
        <v>2.3</v>
      </c>
      <c r="J521" s="0" t="n">
        <v>2</v>
      </c>
      <c r="K521" s="0" t="n">
        <v>0.3</v>
      </c>
      <c r="L521" s="0" t="n">
        <v>0.138</v>
      </c>
      <c r="M521" s="0" t="n">
        <v>0.12</v>
      </c>
      <c r="N521" s="0" t="n">
        <v>0.018</v>
      </c>
      <c r="O521" s="8" t="n">
        <f aca="false">ROUND(I521+L521,2)</f>
        <v>2.44</v>
      </c>
      <c r="P521" s="8" t="n">
        <f aca="false">ROUND(J521+M521,2)</f>
        <v>2.12</v>
      </c>
      <c r="Q521" s="8" t="n">
        <f aca="false">ROUND(K521+N521,2)</f>
        <v>0.32</v>
      </c>
    </row>
    <row r="522" customFormat="false" ht="15" hidden="false" customHeight="false" outlineLevel="0" collapsed="false">
      <c r="A522" s="0" t="s">
        <v>754</v>
      </c>
      <c r="B522" s="0" t="s">
        <v>79</v>
      </c>
      <c r="C522" s="0" t="s">
        <v>79</v>
      </c>
      <c r="D522" s="0" t="s">
        <v>234</v>
      </c>
      <c r="E522" s="3" t="s">
        <v>210</v>
      </c>
      <c r="G522" s="8" t="s">
        <v>396</v>
      </c>
      <c r="H522" s="0" t="n">
        <v>4.2</v>
      </c>
      <c r="I522" s="0" t="n">
        <v>2.3</v>
      </c>
      <c r="J522" s="0" t="n">
        <v>0.6</v>
      </c>
      <c r="K522" s="0" t="n">
        <v>0.2</v>
      </c>
      <c r="L522" s="0" t="n">
        <v>0</v>
      </c>
      <c r="M522" s="0" t="n">
        <v>0</v>
      </c>
      <c r="N522" s="0" t="n">
        <v>0</v>
      </c>
      <c r="O522" s="8" t="n">
        <f aca="false">ROUND(I522+L522,2)</f>
        <v>2.3</v>
      </c>
      <c r="P522" s="8" t="n">
        <f aca="false">ROUND(J522+M522,2)</f>
        <v>0.6</v>
      </c>
      <c r="Q522" s="8" t="n">
        <f aca="false">ROUND(K522+N522,2)</f>
        <v>0.2</v>
      </c>
    </row>
    <row r="523" customFormat="false" ht="15" hidden="false" customHeight="false" outlineLevel="0" collapsed="false">
      <c r="A523" s="0" t="s">
        <v>755</v>
      </c>
      <c r="B523" s="0" t="s">
        <v>98</v>
      </c>
      <c r="C523" s="0" t="s">
        <v>98</v>
      </c>
      <c r="D523" s="0" t="s">
        <v>234</v>
      </c>
      <c r="E523" s="3" t="s">
        <v>211</v>
      </c>
      <c r="G523" s="8" t="s">
        <v>396</v>
      </c>
      <c r="H523" s="0" t="n">
        <v>8.6</v>
      </c>
      <c r="I523" s="0" t="n">
        <v>2.3</v>
      </c>
      <c r="J523" s="0" t="n">
        <v>2</v>
      </c>
      <c r="K523" s="0" t="n">
        <v>0.8</v>
      </c>
      <c r="L523" s="0" t="n">
        <v>0</v>
      </c>
      <c r="M523" s="0" t="n">
        <v>0</v>
      </c>
      <c r="N523" s="0" t="n">
        <v>0</v>
      </c>
      <c r="O523" s="8" t="n">
        <f aca="false">ROUND(I523+L523,2)</f>
        <v>2.3</v>
      </c>
      <c r="P523" s="8" t="n">
        <f aca="false">ROUND(J523+M523,2)</f>
        <v>2</v>
      </c>
      <c r="Q523" s="8" t="n">
        <f aca="false">ROUND(K523+N523,2)</f>
        <v>0.8</v>
      </c>
    </row>
    <row r="524" customFormat="false" ht="15" hidden="false" customHeight="false" outlineLevel="0" collapsed="false">
      <c r="A524" s="0" t="s">
        <v>756</v>
      </c>
      <c r="B524" s="0" t="s">
        <v>118</v>
      </c>
      <c r="C524" s="0" t="s">
        <v>118</v>
      </c>
      <c r="D524" s="0" t="s">
        <v>234</v>
      </c>
      <c r="E524" s="3" t="s">
        <v>210</v>
      </c>
      <c r="G524" s="8" t="s">
        <v>396</v>
      </c>
      <c r="H524" s="0" t="n">
        <v>5.8</v>
      </c>
      <c r="I524" s="0" t="n">
        <v>2.2</v>
      </c>
      <c r="J524" s="0" t="n">
        <v>0.8</v>
      </c>
      <c r="K524" s="0" t="n">
        <v>0.3</v>
      </c>
      <c r="L524" s="0" t="n">
        <v>0</v>
      </c>
      <c r="M524" s="0" t="n">
        <v>0</v>
      </c>
      <c r="N524" s="0" t="n">
        <v>0</v>
      </c>
      <c r="O524" s="8" t="n">
        <f aca="false">ROUND(I524+L524,2)</f>
        <v>2.2</v>
      </c>
      <c r="P524" s="8" t="n">
        <f aca="false">ROUND(J524+M524,2)</f>
        <v>0.8</v>
      </c>
      <c r="Q524" s="8" t="n">
        <f aca="false">ROUND(K524+N524,2)</f>
        <v>0.3</v>
      </c>
    </row>
    <row r="525" customFormat="false" ht="15" hidden="false" customHeight="false" outlineLevel="0" collapsed="false">
      <c r="A525" s="0" t="s">
        <v>757</v>
      </c>
      <c r="B525" s="0" t="s">
        <v>173</v>
      </c>
      <c r="C525" s="0" t="s">
        <v>173</v>
      </c>
      <c r="D525" s="0" t="s">
        <v>234</v>
      </c>
      <c r="E525" s="3" t="s">
        <v>211</v>
      </c>
      <c r="G525" s="8" t="s">
        <v>396</v>
      </c>
      <c r="H525" s="0" t="n">
        <v>7</v>
      </c>
      <c r="I525" s="0" t="n">
        <v>2.2</v>
      </c>
      <c r="J525" s="0" t="n">
        <v>1.5</v>
      </c>
      <c r="K525" s="0" t="n">
        <v>0.5</v>
      </c>
      <c r="L525" s="0" t="n">
        <v>0</v>
      </c>
      <c r="M525" s="0" t="n">
        <v>0</v>
      </c>
      <c r="N525" s="0" t="n">
        <v>0</v>
      </c>
      <c r="O525" s="8" t="n">
        <f aca="false">ROUND(I525+L525,2)</f>
        <v>2.2</v>
      </c>
      <c r="P525" s="8" t="n">
        <f aca="false">ROUND(J525+M525,2)</f>
        <v>1.5</v>
      </c>
      <c r="Q525" s="8" t="n">
        <f aca="false">ROUND(K525+N525,2)</f>
        <v>0.5</v>
      </c>
    </row>
    <row r="526" customFormat="false" ht="15" hidden="false" customHeight="false" outlineLevel="0" collapsed="false">
      <c r="A526" s="0" t="s">
        <v>758</v>
      </c>
      <c r="B526" s="0" t="s">
        <v>154</v>
      </c>
      <c r="C526" s="0" t="s">
        <v>165</v>
      </c>
      <c r="D526" s="0" t="s">
        <v>239</v>
      </c>
      <c r="E526" s="3" t="s">
        <v>212</v>
      </c>
      <c r="G526" s="8" t="s">
        <v>396</v>
      </c>
      <c r="H526" s="0" t="n">
        <v>9.2</v>
      </c>
      <c r="I526" s="0" t="n">
        <v>2.2</v>
      </c>
      <c r="J526" s="0" t="n">
        <v>2.9</v>
      </c>
      <c r="K526" s="0" t="n">
        <v>0.5</v>
      </c>
      <c r="L526" s="0" t="n">
        <v>0</v>
      </c>
      <c r="M526" s="0" t="n">
        <v>0</v>
      </c>
      <c r="N526" s="0" t="n">
        <v>0</v>
      </c>
      <c r="O526" s="8" t="n">
        <f aca="false">ROUND(I526+L526,2)</f>
        <v>2.2</v>
      </c>
      <c r="P526" s="8" t="n">
        <f aca="false">ROUND(J526+M526,2)</f>
        <v>2.9</v>
      </c>
      <c r="Q526" s="8" t="n">
        <f aca="false">ROUND(K526+N526,2)</f>
        <v>0.5</v>
      </c>
    </row>
    <row r="527" customFormat="false" ht="15" hidden="false" customHeight="false" outlineLevel="0" collapsed="false">
      <c r="A527" s="0" t="s">
        <v>759</v>
      </c>
      <c r="B527" s="0" t="s">
        <v>184</v>
      </c>
      <c r="C527" s="0" t="s">
        <v>184</v>
      </c>
      <c r="D527" s="0" t="s">
        <v>243</v>
      </c>
      <c r="E527" s="3" t="s">
        <v>210</v>
      </c>
      <c r="G527" s="8" t="s">
        <v>396</v>
      </c>
      <c r="H527" s="0" t="n">
        <v>6.3</v>
      </c>
      <c r="I527" s="0" t="n">
        <v>2.2</v>
      </c>
      <c r="J527" s="0" t="n">
        <v>0.9</v>
      </c>
      <c r="K527" s="0" t="n">
        <v>0.5</v>
      </c>
      <c r="L527" s="0" t="n">
        <v>0</v>
      </c>
      <c r="M527" s="0" t="n">
        <v>0</v>
      </c>
      <c r="N527" s="0" t="n">
        <v>0</v>
      </c>
      <c r="O527" s="8" t="n">
        <f aca="false">ROUND(I527+L527,2)</f>
        <v>2.2</v>
      </c>
      <c r="P527" s="8" t="n">
        <f aca="false">ROUND(J527+M527,2)</f>
        <v>0.9</v>
      </c>
      <c r="Q527" s="8" t="n">
        <f aca="false">ROUND(K527+N527,2)</f>
        <v>0.5</v>
      </c>
    </row>
    <row r="528" customFormat="false" ht="15" hidden="false" customHeight="false" outlineLevel="0" collapsed="false">
      <c r="A528" s="0" t="s">
        <v>760</v>
      </c>
      <c r="B528" s="0" t="s">
        <v>106</v>
      </c>
      <c r="C528" s="0" t="s">
        <v>106</v>
      </c>
      <c r="D528" s="0" t="s">
        <v>234</v>
      </c>
      <c r="E528" s="3" t="s">
        <v>211</v>
      </c>
      <c r="G528" s="8" t="s">
        <v>396</v>
      </c>
      <c r="H528" s="0" t="n">
        <v>7.7</v>
      </c>
      <c r="I528" s="0" t="n">
        <v>2.2</v>
      </c>
      <c r="J528" s="0" t="n">
        <v>1.7</v>
      </c>
      <c r="K528" s="0" t="n">
        <v>0.8</v>
      </c>
      <c r="L528" s="0" t="n">
        <v>0</v>
      </c>
      <c r="M528" s="0" t="n">
        <v>0</v>
      </c>
      <c r="N528" s="0" t="n">
        <v>0</v>
      </c>
      <c r="O528" s="8" t="n">
        <f aca="false">ROUND(I528+L528,2)</f>
        <v>2.2</v>
      </c>
      <c r="P528" s="8" t="n">
        <f aca="false">ROUND(J528+M528,2)</f>
        <v>1.7</v>
      </c>
      <c r="Q528" s="8" t="n">
        <f aca="false">ROUND(K528+N528,2)</f>
        <v>0.8</v>
      </c>
    </row>
    <row r="529" customFormat="false" ht="15" hidden="false" customHeight="false" outlineLevel="0" collapsed="false">
      <c r="A529" s="0" t="s">
        <v>761</v>
      </c>
      <c r="B529" s="0" t="s">
        <v>173</v>
      </c>
      <c r="C529" s="0" t="s">
        <v>173</v>
      </c>
      <c r="D529" s="0" t="s">
        <v>234</v>
      </c>
      <c r="E529" s="3" t="s">
        <v>210</v>
      </c>
      <c r="G529" s="8" t="s">
        <v>396</v>
      </c>
      <c r="H529" s="0" t="n">
        <v>5.4</v>
      </c>
      <c r="I529" s="0" t="n">
        <v>2.1</v>
      </c>
      <c r="J529" s="0" t="n">
        <v>0.8</v>
      </c>
      <c r="K529" s="0" t="n">
        <v>0.4</v>
      </c>
      <c r="L529" s="0" t="n">
        <v>0</v>
      </c>
      <c r="M529" s="0" t="n">
        <v>0</v>
      </c>
      <c r="N529" s="0" t="n">
        <v>0</v>
      </c>
      <c r="O529" s="8" t="n">
        <f aca="false">ROUND(I529+L529,2)</f>
        <v>2.1</v>
      </c>
      <c r="P529" s="8" t="n">
        <f aca="false">ROUND(J529+M529,2)</f>
        <v>0.8</v>
      </c>
      <c r="Q529" s="8" t="n">
        <f aca="false">ROUND(K529+N529,2)</f>
        <v>0.4</v>
      </c>
    </row>
    <row r="530" customFormat="false" ht="15" hidden="false" customHeight="false" outlineLevel="0" collapsed="false">
      <c r="A530" s="0" t="s">
        <v>762</v>
      </c>
      <c r="B530" s="0" t="s">
        <v>83</v>
      </c>
      <c r="C530" s="0" t="s">
        <v>83</v>
      </c>
      <c r="D530" s="0" t="s">
        <v>234</v>
      </c>
      <c r="E530" s="3" t="s">
        <v>208</v>
      </c>
      <c r="G530" s="8" t="s">
        <v>396</v>
      </c>
      <c r="H530" s="0" t="n">
        <v>10.3</v>
      </c>
      <c r="I530" s="0" t="n">
        <v>2</v>
      </c>
      <c r="J530" s="0" t="n">
        <v>0.8</v>
      </c>
      <c r="K530" s="0" t="n">
        <v>1.8</v>
      </c>
      <c r="L530" s="0" t="n">
        <v>0.12</v>
      </c>
      <c r="M530" s="0" t="n">
        <v>0.048</v>
      </c>
      <c r="N530" s="0" t="n">
        <v>0.108</v>
      </c>
      <c r="O530" s="8" t="n">
        <f aca="false">ROUND(I530+L530,2)</f>
        <v>2.12</v>
      </c>
      <c r="P530" s="8" t="n">
        <f aca="false">ROUND(J530+M530,2)</f>
        <v>0.85</v>
      </c>
      <c r="Q530" s="8" t="n">
        <f aca="false">ROUND(K530+N530,2)</f>
        <v>1.91</v>
      </c>
    </row>
    <row r="531" customFormat="false" ht="15" hidden="false" customHeight="false" outlineLevel="0" collapsed="false">
      <c r="A531" s="0" t="s">
        <v>763</v>
      </c>
      <c r="B531" s="0" t="s">
        <v>118</v>
      </c>
      <c r="C531" s="0" t="s">
        <v>118</v>
      </c>
      <c r="D531" s="0" t="s">
        <v>243</v>
      </c>
      <c r="E531" s="3" t="s">
        <v>210</v>
      </c>
      <c r="G531" s="8" t="s">
        <v>396</v>
      </c>
      <c r="H531" s="0" t="n">
        <v>6.6</v>
      </c>
      <c r="I531" s="0" t="n">
        <v>2</v>
      </c>
      <c r="J531" s="0" t="n">
        <v>1.1</v>
      </c>
      <c r="K531" s="0" t="n">
        <v>0.4</v>
      </c>
      <c r="L531" s="0" t="n">
        <v>0</v>
      </c>
      <c r="M531" s="0" t="n">
        <v>0</v>
      </c>
      <c r="N531" s="0" t="n">
        <v>0</v>
      </c>
      <c r="O531" s="8" t="n">
        <f aca="false">ROUND(I531+L531,2)</f>
        <v>2</v>
      </c>
      <c r="P531" s="8" t="n">
        <f aca="false">ROUND(J531+M531,2)</f>
        <v>1.1</v>
      </c>
      <c r="Q531" s="8" t="n">
        <f aca="false">ROUND(K531+N531,2)</f>
        <v>0.4</v>
      </c>
    </row>
    <row r="532" customFormat="false" ht="15" hidden="false" customHeight="false" outlineLevel="0" collapsed="false">
      <c r="A532" s="0" t="s">
        <v>764</v>
      </c>
      <c r="B532" s="0" t="s">
        <v>94</v>
      </c>
      <c r="C532" s="0" t="s">
        <v>94</v>
      </c>
      <c r="D532" s="0" t="s">
        <v>234</v>
      </c>
      <c r="E532" s="3" t="s">
        <v>208</v>
      </c>
      <c r="G532" s="8" t="s">
        <v>396</v>
      </c>
      <c r="H532" s="0" t="n">
        <v>3</v>
      </c>
      <c r="I532" s="0" t="n">
        <v>2</v>
      </c>
      <c r="J532" s="0" t="n">
        <v>0.5</v>
      </c>
      <c r="K532" s="0" t="n">
        <v>0.5</v>
      </c>
      <c r="L532" s="0" t="n">
        <v>0</v>
      </c>
      <c r="M532" s="0" t="n">
        <v>0</v>
      </c>
      <c r="N532" s="0" t="n">
        <v>0</v>
      </c>
      <c r="O532" s="8" t="n">
        <f aca="false">ROUND(I532+L532,2)</f>
        <v>2</v>
      </c>
      <c r="P532" s="8" t="n">
        <f aca="false">ROUND(J532+M532,2)</f>
        <v>0.5</v>
      </c>
      <c r="Q532" s="8" t="n">
        <f aca="false">ROUND(K532+N532,2)</f>
        <v>0.5</v>
      </c>
    </row>
    <row r="533" customFormat="false" ht="15" hidden="false" customHeight="false" outlineLevel="0" collapsed="false">
      <c r="A533" s="0" t="s">
        <v>765</v>
      </c>
      <c r="B533" s="0" t="s">
        <v>110</v>
      </c>
      <c r="C533" s="0" t="s">
        <v>110</v>
      </c>
      <c r="D533" s="0" t="s">
        <v>234</v>
      </c>
      <c r="E533" s="3" t="s">
        <v>212</v>
      </c>
      <c r="G533" s="8" t="s">
        <v>396</v>
      </c>
      <c r="H533" s="0" t="n">
        <v>7</v>
      </c>
      <c r="I533" s="0" t="n">
        <v>2</v>
      </c>
      <c r="J533" s="0" t="n">
        <v>4</v>
      </c>
      <c r="K533" s="0" t="n">
        <v>2</v>
      </c>
      <c r="L533" s="0" t="n">
        <v>0</v>
      </c>
      <c r="M533" s="0" t="n">
        <v>0</v>
      </c>
      <c r="N533" s="0" t="n">
        <v>0</v>
      </c>
      <c r="O533" s="8" t="n">
        <f aca="false">ROUND(I533+L533,2)</f>
        <v>2</v>
      </c>
      <c r="P533" s="8" t="n">
        <f aca="false">ROUND(J533+M533,2)</f>
        <v>4</v>
      </c>
      <c r="Q533" s="8" t="n">
        <f aca="false">ROUND(K533+N533,2)</f>
        <v>2</v>
      </c>
    </row>
    <row r="534" customFormat="false" ht="15" hidden="false" customHeight="false" outlineLevel="0" collapsed="false">
      <c r="A534" s="0" t="s">
        <v>766</v>
      </c>
      <c r="B534" s="0" t="s">
        <v>146</v>
      </c>
      <c r="C534" s="0" t="s">
        <v>146</v>
      </c>
      <c r="D534" s="0" t="s">
        <v>234</v>
      </c>
      <c r="E534" s="3" t="s">
        <v>210</v>
      </c>
      <c r="G534" s="8" t="s">
        <v>396</v>
      </c>
      <c r="H534" s="0" t="n">
        <v>4.2</v>
      </c>
      <c r="I534" s="0" t="n">
        <v>2</v>
      </c>
      <c r="J534" s="0" t="n">
        <v>0.8</v>
      </c>
      <c r="K534" s="0" t="n">
        <v>0.3</v>
      </c>
      <c r="L534" s="0" t="n">
        <v>0</v>
      </c>
      <c r="M534" s="0" t="n">
        <v>0</v>
      </c>
      <c r="N534" s="0" t="n">
        <v>0</v>
      </c>
      <c r="O534" s="8" t="n">
        <f aca="false">ROUND(I534+L534,2)</f>
        <v>2</v>
      </c>
      <c r="P534" s="8" t="n">
        <f aca="false">ROUND(J534+M534,2)</f>
        <v>0.8</v>
      </c>
      <c r="Q534" s="8" t="n">
        <f aca="false">ROUND(K534+N534,2)</f>
        <v>0.3</v>
      </c>
    </row>
    <row r="535" customFormat="false" ht="15" hidden="false" customHeight="false" outlineLevel="0" collapsed="false">
      <c r="A535" s="0" t="s">
        <v>767</v>
      </c>
      <c r="B535" s="0" t="s">
        <v>173</v>
      </c>
      <c r="C535" s="0" t="s">
        <v>173</v>
      </c>
      <c r="D535" s="0" t="s">
        <v>234</v>
      </c>
      <c r="E535" s="3" t="s">
        <v>211</v>
      </c>
      <c r="G535" s="8" t="s">
        <v>396</v>
      </c>
      <c r="H535" s="0" t="n">
        <v>4.4</v>
      </c>
      <c r="I535" s="0" t="n">
        <v>2</v>
      </c>
      <c r="J535" s="0" t="n">
        <v>1</v>
      </c>
      <c r="K535" s="0" t="n">
        <v>0</v>
      </c>
      <c r="L535" s="0" t="n">
        <v>0</v>
      </c>
      <c r="M535" s="0" t="n">
        <v>0</v>
      </c>
      <c r="N535" s="0" t="n">
        <v>0</v>
      </c>
      <c r="O535" s="8" t="n">
        <f aca="false">ROUND(I535+L535,2)</f>
        <v>2</v>
      </c>
      <c r="P535" s="8" t="n">
        <f aca="false">ROUND(J535+M535,2)</f>
        <v>1</v>
      </c>
      <c r="Q535" s="8" t="n">
        <f aca="false">ROUND(K535+N535,2)</f>
        <v>0</v>
      </c>
    </row>
    <row r="536" customFormat="false" ht="15" hidden="false" customHeight="false" outlineLevel="0" collapsed="false">
      <c r="A536" s="0" t="s">
        <v>768</v>
      </c>
      <c r="B536" s="0" t="s">
        <v>130</v>
      </c>
      <c r="C536" s="0" t="s">
        <v>130</v>
      </c>
      <c r="D536" s="0" t="s">
        <v>234</v>
      </c>
      <c r="E536" s="3" t="s">
        <v>210</v>
      </c>
      <c r="G536" s="8" t="s">
        <v>396</v>
      </c>
      <c r="H536" s="0" t="n">
        <v>10.7</v>
      </c>
      <c r="I536" s="0" t="n">
        <v>2</v>
      </c>
      <c r="J536" s="0" t="n">
        <v>2</v>
      </c>
      <c r="K536" s="0" t="n">
        <v>0.6</v>
      </c>
      <c r="L536" s="0" t="n">
        <v>0.12</v>
      </c>
      <c r="M536" s="0" t="n">
        <v>0.12</v>
      </c>
      <c r="N536" s="0" t="n">
        <v>0.036</v>
      </c>
      <c r="O536" s="8" t="n">
        <f aca="false">ROUND(I536+L536,2)</f>
        <v>2.12</v>
      </c>
      <c r="P536" s="8" t="n">
        <f aca="false">ROUND(J536+M536,2)</f>
        <v>2.12</v>
      </c>
      <c r="Q536" s="8" t="n">
        <f aca="false">ROUND(K536+N536,2)</f>
        <v>0.64</v>
      </c>
    </row>
    <row r="537" customFormat="false" ht="15" hidden="false" customHeight="false" outlineLevel="0" collapsed="false">
      <c r="A537" s="0" t="s">
        <v>769</v>
      </c>
      <c r="B537" s="0" t="s">
        <v>180</v>
      </c>
      <c r="C537" s="0" t="s">
        <v>180</v>
      </c>
      <c r="D537" s="0" t="s">
        <v>243</v>
      </c>
      <c r="E537" s="3" t="s">
        <v>209</v>
      </c>
      <c r="G537" s="8" t="s">
        <v>396</v>
      </c>
      <c r="H537" s="0" t="n">
        <v>6.4</v>
      </c>
      <c r="I537" s="0" t="n">
        <v>2</v>
      </c>
      <c r="J537" s="0" t="n">
        <v>0.7</v>
      </c>
      <c r="K537" s="0" t="n">
        <v>0.9</v>
      </c>
      <c r="L537" s="0" t="n">
        <v>0</v>
      </c>
      <c r="M537" s="0" t="n">
        <v>0</v>
      </c>
      <c r="N537" s="0" t="n">
        <v>0</v>
      </c>
      <c r="O537" s="8" t="n">
        <f aca="false">ROUND(I537+L537,2)</f>
        <v>2</v>
      </c>
      <c r="P537" s="8" t="n">
        <f aca="false">ROUND(J537+M537,2)</f>
        <v>0.7</v>
      </c>
      <c r="Q537" s="8" t="n">
        <f aca="false">ROUND(K537+N537,2)</f>
        <v>0.9</v>
      </c>
    </row>
    <row r="538" customFormat="false" ht="15" hidden="false" customHeight="false" outlineLevel="0" collapsed="false">
      <c r="A538" s="0" t="s">
        <v>770</v>
      </c>
      <c r="B538" s="0" t="s">
        <v>161</v>
      </c>
      <c r="C538" s="0" t="s">
        <v>161</v>
      </c>
      <c r="D538" s="0" t="s">
        <v>234</v>
      </c>
      <c r="E538" s="3" t="s">
        <v>208</v>
      </c>
      <c r="G538" s="8" t="s">
        <v>396</v>
      </c>
      <c r="H538" s="0" t="n">
        <v>6</v>
      </c>
      <c r="I538" s="0" t="n">
        <v>2</v>
      </c>
      <c r="J538" s="0" t="n">
        <v>0.8</v>
      </c>
      <c r="K538" s="0" t="n">
        <v>1</v>
      </c>
      <c r="L538" s="0" t="n">
        <v>0</v>
      </c>
      <c r="M538" s="0" t="n">
        <v>0</v>
      </c>
      <c r="N538" s="0" t="n">
        <v>0</v>
      </c>
      <c r="O538" s="8" t="n">
        <f aca="false">ROUND(I538+L538,2)</f>
        <v>2</v>
      </c>
      <c r="P538" s="8" t="n">
        <f aca="false">ROUND(J538+M538,2)</f>
        <v>0.8</v>
      </c>
      <c r="Q538" s="8" t="n">
        <f aca="false">ROUND(K538+N538,2)</f>
        <v>1</v>
      </c>
    </row>
    <row r="539" customFormat="false" ht="15" hidden="false" customHeight="false" outlineLevel="0" collapsed="false">
      <c r="A539" s="0" t="s">
        <v>771</v>
      </c>
      <c r="B539" s="0" t="s">
        <v>126</v>
      </c>
      <c r="C539" s="0" t="s">
        <v>126</v>
      </c>
      <c r="D539" s="0" t="s">
        <v>234</v>
      </c>
      <c r="E539" s="3" t="s">
        <v>208</v>
      </c>
      <c r="G539" s="8" t="s">
        <v>396</v>
      </c>
      <c r="H539" s="0" t="n">
        <v>4.4</v>
      </c>
      <c r="I539" s="0" t="n">
        <v>1.9</v>
      </c>
      <c r="J539" s="0" t="n">
        <v>0.4</v>
      </c>
      <c r="K539" s="0" t="n">
        <v>0.7</v>
      </c>
      <c r="L539" s="0" t="n">
        <v>0</v>
      </c>
      <c r="M539" s="0" t="n">
        <v>0</v>
      </c>
      <c r="N539" s="0" t="n">
        <v>0</v>
      </c>
      <c r="O539" s="8" t="n">
        <f aca="false">ROUND(I539+L539,2)</f>
        <v>1.9</v>
      </c>
      <c r="P539" s="8" t="n">
        <f aca="false">ROUND(J539+M539,2)</f>
        <v>0.4</v>
      </c>
      <c r="Q539" s="8" t="n">
        <f aca="false">ROUND(K539+N539,2)</f>
        <v>0.7</v>
      </c>
    </row>
    <row r="540" customFormat="false" ht="15" hidden="false" customHeight="false" outlineLevel="0" collapsed="false">
      <c r="A540" s="0" t="s">
        <v>772</v>
      </c>
      <c r="B540" s="0" t="s">
        <v>130</v>
      </c>
      <c r="C540" s="0" t="s">
        <v>130</v>
      </c>
      <c r="D540" s="0" t="s">
        <v>234</v>
      </c>
      <c r="E540" s="3" t="s">
        <v>210</v>
      </c>
      <c r="G540" s="8" t="s">
        <v>396</v>
      </c>
      <c r="H540" s="0" t="n">
        <v>6</v>
      </c>
      <c r="I540" s="0" t="n">
        <v>1.9</v>
      </c>
      <c r="J540" s="0" t="n">
        <v>1.1</v>
      </c>
      <c r="K540" s="0" t="n">
        <v>0.4</v>
      </c>
      <c r="L540" s="0" t="n">
        <v>0</v>
      </c>
      <c r="M540" s="0" t="n">
        <v>0</v>
      </c>
      <c r="N540" s="0" t="n">
        <v>0</v>
      </c>
      <c r="O540" s="8" t="n">
        <f aca="false">ROUND(I540+L540,2)</f>
        <v>1.9</v>
      </c>
      <c r="P540" s="8" t="n">
        <f aca="false">ROUND(J540+M540,2)</f>
        <v>1.1</v>
      </c>
      <c r="Q540" s="8" t="n">
        <f aca="false">ROUND(K540+N540,2)</f>
        <v>0.4</v>
      </c>
    </row>
    <row r="541" customFormat="false" ht="15" hidden="false" customHeight="false" outlineLevel="0" collapsed="false">
      <c r="A541" s="0" t="s">
        <v>773</v>
      </c>
      <c r="B541" s="0" t="s">
        <v>110</v>
      </c>
      <c r="C541" s="0" t="s">
        <v>110</v>
      </c>
      <c r="D541" s="0" t="s">
        <v>234</v>
      </c>
      <c r="E541" s="3" t="s">
        <v>212</v>
      </c>
      <c r="G541" s="8" t="s">
        <v>396</v>
      </c>
      <c r="H541" s="0" t="n">
        <v>5.9</v>
      </c>
      <c r="I541" s="0" t="n">
        <v>1.8</v>
      </c>
      <c r="J541" s="0" t="n">
        <v>1.6</v>
      </c>
      <c r="K541" s="0" t="n">
        <v>0.5</v>
      </c>
      <c r="L541" s="0" t="n">
        <v>0</v>
      </c>
      <c r="M541" s="0" t="n">
        <v>0</v>
      </c>
      <c r="N541" s="0" t="n">
        <v>0</v>
      </c>
      <c r="O541" s="8" t="n">
        <f aca="false">ROUND(I541+L541,2)</f>
        <v>1.8</v>
      </c>
      <c r="P541" s="8" t="n">
        <f aca="false">ROUND(J541+M541,2)</f>
        <v>1.6</v>
      </c>
      <c r="Q541" s="8" t="n">
        <f aca="false">ROUND(K541+N541,2)</f>
        <v>0.5</v>
      </c>
    </row>
    <row r="542" customFormat="false" ht="15" hidden="false" customHeight="false" outlineLevel="0" collapsed="false">
      <c r="A542" s="0" t="s">
        <v>774</v>
      </c>
      <c r="B542" s="0" t="s">
        <v>169</v>
      </c>
      <c r="C542" s="0" t="s">
        <v>169</v>
      </c>
      <c r="D542" s="0" t="s">
        <v>234</v>
      </c>
      <c r="E542" s="3" t="s">
        <v>210</v>
      </c>
      <c r="G542" s="8" t="s">
        <v>396</v>
      </c>
      <c r="H542" s="0" t="n">
        <v>9.6</v>
      </c>
      <c r="I542" s="0" t="n">
        <v>1.8</v>
      </c>
      <c r="J542" s="0" t="n">
        <v>1.7</v>
      </c>
      <c r="K542" s="0" t="n">
        <v>0.6</v>
      </c>
      <c r="L542" s="0" t="n">
        <v>0</v>
      </c>
      <c r="M542" s="0" t="n">
        <v>0</v>
      </c>
      <c r="N542" s="0" t="n">
        <v>0</v>
      </c>
      <c r="O542" s="8" t="n">
        <f aca="false">ROUND(I542+L542,2)</f>
        <v>1.8</v>
      </c>
      <c r="P542" s="8" t="n">
        <f aca="false">ROUND(J542+M542,2)</f>
        <v>1.7</v>
      </c>
      <c r="Q542" s="8" t="n">
        <f aca="false">ROUND(K542+N542,2)</f>
        <v>0.6</v>
      </c>
    </row>
    <row r="543" customFormat="false" ht="15" hidden="false" customHeight="false" outlineLevel="0" collapsed="false">
      <c r="A543" s="0" t="s">
        <v>775</v>
      </c>
      <c r="B543" s="0" t="s">
        <v>122</v>
      </c>
      <c r="C543" s="0" t="s">
        <v>122</v>
      </c>
      <c r="D543" s="0" t="s">
        <v>234</v>
      </c>
      <c r="E543" s="3" t="s">
        <v>212</v>
      </c>
      <c r="G543" s="8" t="s">
        <v>396</v>
      </c>
      <c r="H543" s="0" t="n">
        <v>13.8</v>
      </c>
      <c r="I543" s="0" t="n">
        <v>1.8</v>
      </c>
      <c r="J543" s="0" t="n">
        <v>3.5</v>
      </c>
      <c r="K543" s="0" t="n">
        <v>0.5</v>
      </c>
      <c r="L543" s="0" t="n">
        <v>0.108</v>
      </c>
      <c r="M543" s="0" t="n">
        <v>0.21</v>
      </c>
      <c r="N543" s="0" t="n">
        <v>0.03</v>
      </c>
      <c r="O543" s="8" t="n">
        <f aca="false">ROUND(I543+L543,2)</f>
        <v>1.91</v>
      </c>
      <c r="P543" s="8" t="n">
        <f aca="false">ROUND(J543+M543,2)</f>
        <v>3.71</v>
      </c>
      <c r="Q543" s="8" t="n">
        <f aca="false">ROUND(K543+N543,2)</f>
        <v>0.53</v>
      </c>
    </row>
    <row r="544" customFormat="false" ht="15" hidden="false" customHeight="false" outlineLevel="0" collapsed="false">
      <c r="A544" s="0" t="s">
        <v>776</v>
      </c>
      <c r="B544" s="0" t="s">
        <v>161</v>
      </c>
      <c r="C544" s="0" t="s">
        <v>161</v>
      </c>
      <c r="D544" s="0" t="s">
        <v>234</v>
      </c>
      <c r="E544" s="3" t="s">
        <v>210</v>
      </c>
      <c r="G544" s="8" t="s">
        <v>396</v>
      </c>
      <c r="H544" s="0" t="n">
        <v>6.3</v>
      </c>
      <c r="I544" s="0" t="n">
        <v>1.8</v>
      </c>
      <c r="J544" s="0" t="n">
        <v>1</v>
      </c>
      <c r="K544" s="0" t="n">
        <v>0.8</v>
      </c>
      <c r="L544" s="0" t="n">
        <v>0</v>
      </c>
      <c r="M544" s="0" t="n">
        <v>0</v>
      </c>
      <c r="N544" s="0" t="n">
        <v>0</v>
      </c>
      <c r="O544" s="8" t="n">
        <f aca="false">ROUND(I544+L544,2)</f>
        <v>1.8</v>
      </c>
      <c r="P544" s="8" t="n">
        <f aca="false">ROUND(J544+M544,2)</f>
        <v>1</v>
      </c>
      <c r="Q544" s="8" t="n">
        <f aca="false">ROUND(K544+N544,2)</f>
        <v>0.8</v>
      </c>
    </row>
    <row r="545" customFormat="false" ht="15" hidden="false" customHeight="false" outlineLevel="0" collapsed="false">
      <c r="A545" s="0" t="s">
        <v>777</v>
      </c>
      <c r="B545" s="0" t="s">
        <v>138</v>
      </c>
      <c r="C545" s="0" t="s">
        <v>138</v>
      </c>
      <c r="D545" s="0" t="s">
        <v>234</v>
      </c>
      <c r="E545" s="3" t="s">
        <v>209</v>
      </c>
      <c r="G545" s="8" t="s">
        <v>396</v>
      </c>
      <c r="H545" s="0" t="n">
        <v>4.1</v>
      </c>
      <c r="I545" s="0" t="n">
        <v>1.8</v>
      </c>
      <c r="J545" s="0" t="n">
        <v>0.3</v>
      </c>
      <c r="K545" s="0" t="n">
        <v>0.6</v>
      </c>
      <c r="L545" s="0" t="n">
        <v>0</v>
      </c>
      <c r="M545" s="0" t="n">
        <v>0</v>
      </c>
      <c r="N545" s="0" t="n">
        <v>0</v>
      </c>
      <c r="O545" s="8" t="n">
        <f aca="false">ROUND(I545+L545,2)</f>
        <v>1.8</v>
      </c>
      <c r="P545" s="8" t="n">
        <f aca="false">ROUND(J545+M545,2)</f>
        <v>0.3</v>
      </c>
      <c r="Q545" s="8" t="n">
        <f aca="false">ROUND(K545+N545,2)</f>
        <v>0.6</v>
      </c>
    </row>
    <row r="546" customFormat="false" ht="15" hidden="false" customHeight="false" outlineLevel="0" collapsed="false">
      <c r="A546" s="0" t="s">
        <v>778</v>
      </c>
      <c r="B546" s="0" t="s">
        <v>158</v>
      </c>
      <c r="C546" s="0" t="s">
        <v>158</v>
      </c>
      <c r="D546" s="0" t="s">
        <v>234</v>
      </c>
      <c r="E546" s="3" t="s">
        <v>211</v>
      </c>
      <c r="G546" s="8" t="s">
        <v>396</v>
      </c>
      <c r="H546" s="0" t="n">
        <v>8.7</v>
      </c>
      <c r="I546" s="0" t="n">
        <v>1.7</v>
      </c>
      <c r="J546" s="0" t="n">
        <v>2</v>
      </c>
      <c r="K546" s="0" t="n">
        <v>0.6</v>
      </c>
      <c r="L546" s="0" t="n">
        <v>0</v>
      </c>
      <c r="M546" s="0" t="n">
        <v>0</v>
      </c>
      <c r="N546" s="0" t="n">
        <v>0</v>
      </c>
      <c r="O546" s="8" t="n">
        <f aca="false">ROUND(I546+L546,2)</f>
        <v>1.7</v>
      </c>
      <c r="P546" s="8" t="n">
        <f aca="false">ROUND(J546+M546,2)</f>
        <v>2</v>
      </c>
      <c r="Q546" s="8" t="n">
        <f aca="false">ROUND(K546+N546,2)</f>
        <v>0.6</v>
      </c>
    </row>
    <row r="547" customFormat="false" ht="15" hidden="false" customHeight="false" outlineLevel="0" collapsed="false">
      <c r="A547" s="0" t="s">
        <v>779</v>
      </c>
      <c r="B547" s="0" t="s">
        <v>154</v>
      </c>
      <c r="C547" s="0" t="s">
        <v>154</v>
      </c>
      <c r="D547" s="0" t="s">
        <v>234</v>
      </c>
      <c r="E547" s="3" t="s">
        <v>210</v>
      </c>
      <c r="G547" s="8" t="s">
        <v>396</v>
      </c>
      <c r="H547" s="0" t="n">
        <v>4.7</v>
      </c>
      <c r="I547" s="0" t="n">
        <v>1.7</v>
      </c>
      <c r="J547" s="0" t="n">
        <v>0.9</v>
      </c>
      <c r="K547" s="0" t="n">
        <v>0.4</v>
      </c>
      <c r="L547" s="0" t="n">
        <v>0</v>
      </c>
      <c r="M547" s="0" t="n">
        <v>0</v>
      </c>
      <c r="N547" s="0" t="n">
        <v>0</v>
      </c>
      <c r="O547" s="8" t="n">
        <f aca="false">ROUND(I547+L547,2)</f>
        <v>1.7</v>
      </c>
      <c r="P547" s="8" t="n">
        <f aca="false">ROUND(J547+M547,2)</f>
        <v>0.9</v>
      </c>
      <c r="Q547" s="8" t="n">
        <f aca="false">ROUND(K547+N547,2)</f>
        <v>0.4</v>
      </c>
    </row>
    <row r="548" customFormat="false" ht="15" hidden="false" customHeight="false" outlineLevel="0" collapsed="false">
      <c r="A548" s="0" t="s">
        <v>780</v>
      </c>
      <c r="B548" s="0" t="s">
        <v>110</v>
      </c>
      <c r="C548" s="0" t="s">
        <v>110</v>
      </c>
      <c r="D548" s="0" t="s">
        <v>234</v>
      </c>
      <c r="E548" s="3" t="s">
        <v>210</v>
      </c>
      <c r="G548" s="8" t="s">
        <v>396</v>
      </c>
      <c r="H548" s="0" t="n">
        <v>10</v>
      </c>
      <c r="I548" s="0" t="n">
        <v>1.7</v>
      </c>
      <c r="J548" s="0" t="n">
        <v>1</v>
      </c>
      <c r="K548" s="0" t="n">
        <v>0.7</v>
      </c>
      <c r="L548" s="0" t="n">
        <v>0.102</v>
      </c>
      <c r="M548" s="0" t="n">
        <v>0.06</v>
      </c>
      <c r="N548" s="0" t="n">
        <v>0.042</v>
      </c>
      <c r="O548" s="8" t="n">
        <f aca="false">ROUND(I548+L548,2)</f>
        <v>1.8</v>
      </c>
      <c r="P548" s="8" t="n">
        <f aca="false">ROUND(J548+M548,2)</f>
        <v>1.06</v>
      </c>
      <c r="Q548" s="8" t="n">
        <f aca="false">ROUND(K548+N548,2)</f>
        <v>0.74</v>
      </c>
    </row>
    <row r="549" customFormat="false" ht="15" hidden="false" customHeight="false" outlineLevel="0" collapsed="false">
      <c r="A549" s="0" t="s">
        <v>781</v>
      </c>
      <c r="B549" s="0" t="s">
        <v>180</v>
      </c>
      <c r="C549" s="0" t="s">
        <v>180</v>
      </c>
      <c r="D549" s="0" t="s">
        <v>234</v>
      </c>
      <c r="E549" s="3" t="s">
        <v>212</v>
      </c>
      <c r="G549" s="8" t="s">
        <v>396</v>
      </c>
      <c r="H549" s="0" t="n">
        <v>8.6</v>
      </c>
      <c r="I549" s="0" t="n">
        <v>1.6</v>
      </c>
      <c r="J549" s="0" t="n">
        <v>2.7</v>
      </c>
      <c r="K549" s="0" t="n">
        <v>1</v>
      </c>
      <c r="L549" s="0" t="n">
        <v>0</v>
      </c>
      <c r="M549" s="0" t="n">
        <v>0</v>
      </c>
      <c r="N549" s="0" t="n">
        <v>0</v>
      </c>
      <c r="O549" s="8" t="n">
        <f aca="false">ROUND(I549+L549,2)</f>
        <v>1.6</v>
      </c>
      <c r="P549" s="8" t="n">
        <f aca="false">ROUND(J549+M549,2)</f>
        <v>2.7</v>
      </c>
      <c r="Q549" s="8" t="n">
        <f aca="false">ROUND(K549+N549,2)</f>
        <v>1</v>
      </c>
    </row>
    <row r="550" customFormat="false" ht="15" hidden="false" customHeight="false" outlineLevel="0" collapsed="false">
      <c r="A550" s="0" t="s">
        <v>782</v>
      </c>
      <c r="B550" s="0" t="s">
        <v>180</v>
      </c>
      <c r="C550" s="0" t="s">
        <v>180</v>
      </c>
      <c r="D550" s="0" t="s">
        <v>234</v>
      </c>
      <c r="E550" s="3" t="s">
        <v>210</v>
      </c>
      <c r="G550" s="8" t="s">
        <v>396</v>
      </c>
      <c r="H550" s="0" t="n">
        <v>3.7</v>
      </c>
      <c r="I550" s="0" t="n">
        <v>1.6</v>
      </c>
      <c r="J550" s="0" t="n">
        <v>0.4</v>
      </c>
      <c r="K550" s="0" t="n">
        <v>0.1</v>
      </c>
      <c r="L550" s="0" t="n">
        <v>0</v>
      </c>
      <c r="M550" s="0" t="n">
        <v>0</v>
      </c>
      <c r="N550" s="0" t="n">
        <v>0</v>
      </c>
      <c r="O550" s="8" t="n">
        <f aca="false">ROUND(I550+L550,2)</f>
        <v>1.6</v>
      </c>
      <c r="P550" s="8" t="n">
        <f aca="false">ROUND(J550+M550,2)</f>
        <v>0.4</v>
      </c>
      <c r="Q550" s="8" t="n">
        <f aca="false">ROUND(K550+N550,2)</f>
        <v>0.1</v>
      </c>
    </row>
    <row r="551" customFormat="false" ht="15" hidden="false" customHeight="false" outlineLevel="0" collapsed="false">
      <c r="A551" s="0" t="s">
        <v>783</v>
      </c>
      <c r="B551" s="0" t="s">
        <v>79</v>
      </c>
      <c r="C551" s="0" t="s">
        <v>79</v>
      </c>
      <c r="D551" s="0" t="s">
        <v>234</v>
      </c>
      <c r="E551" s="3" t="s">
        <v>210</v>
      </c>
      <c r="G551" s="8" t="s">
        <v>396</v>
      </c>
      <c r="H551" s="0" t="n">
        <v>3.4</v>
      </c>
      <c r="I551" s="0" t="n">
        <v>1.6</v>
      </c>
      <c r="J551" s="0" t="n">
        <v>0.2</v>
      </c>
      <c r="K551" s="0" t="n">
        <v>0.2</v>
      </c>
      <c r="L551" s="0" t="n">
        <v>0</v>
      </c>
      <c r="M551" s="0" t="n">
        <v>0</v>
      </c>
      <c r="N551" s="0" t="n">
        <v>0</v>
      </c>
      <c r="O551" s="8" t="n">
        <f aca="false">ROUND(I551+L551,2)</f>
        <v>1.6</v>
      </c>
      <c r="P551" s="8" t="n">
        <f aca="false">ROUND(J551+M551,2)</f>
        <v>0.2</v>
      </c>
      <c r="Q551" s="8" t="n">
        <f aca="false">ROUND(K551+N551,2)</f>
        <v>0.2</v>
      </c>
    </row>
    <row r="552" customFormat="false" ht="15" hidden="false" customHeight="false" outlineLevel="0" collapsed="false">
      <c r="A552" s="0" t="s">
        <v>784</v>
      </c>
      <c r="B552" s="0" t="s">
        <v>91</v>
      </c>
      <c r="C552" s="0" t="s">
        <v>91</v>
      </c>
      <c r="D552" s="0" t="s">
        <v>234</v>
      </c>
      <c r="E552" s="3" t="s">
        <v>211</v>
      </c>
      <c r="G552" s="8" t="s">
        <v>396</v>
      </c>
      <c r="H552" s="0" t="n">
        <v>6.1</v>
      </c>
      <c r="I552" s="0" t="n">
        <v>1.5</v>
      </c>
      <c r="J552" s="0" t="n">
        <v>1.4</v>
      </c>
      <c r="K552" s="0" t="n">
        <v>0.4</v>
      </c>
      <c r="L552" s="0" t="n">
        <v>0</v>
      </c>
      <c r="M552" s="0" t="n">
        <v>0</v>
      </c>
      <c r="N552" s="0" t="n">
        <v>0</v>
      </c>
      <c r="O552" s="8" t="n">
        <f aca="false">ROUND(I552+L552,2)</f>
        <v>1.5</v>
      </c>
      <c r="P552" s="8" t="n">
        <f aca="false">ROUND(J552+M552,2)</f>
        <v>1.4</v>
      </c>
      <c r="Q552" s="8" t="n">
        <f aca="false">ROUND(K552+N552,2)</f>
        <v>0.4</v>
      </c>
    </row>
    <row r="553" customFormat="false" ht="15" hidden="false" customHeight="false" outlineLevel="0" collapsed="false">
      <c r="A553" s="0" t="s">
        <v>785</v>
      </c>
      <c r="B553" s="0" t="s">
        <v>158</v>
      </c>
      <c r="C553" s="0" t="s">
        <v>158</v>
      </c>
      <c r="D553" s="0" t="s">
        <v>234</v>
      </c>
      <c r="E553" s="3" t="s">
        <v>210</v>
      </c>
      <c r="G553" s="8" t="s">
        <v>396</v>
      </c>
      <c r="H553" s="0" t="n">
        <v>3.8</v>
      </c>
      <c r="I553" s="0" t="n">
        <v>1.5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8" t="n">
        <f aca="false">ROUND(I553+L553,2)</f>
        <v>1.5</v>
      </c>
      <c r="P553" s="8" t="n">
        <f aca="false">ROUND(J553+M553,2)</f>
        <v>0</v>
      </c>
      <c r="Q553" s="8" t="n">
        <f aca="false">ROUND(K553+N553,2)</f>
        <v>0</v>
      </c>
    </row>
    <row r="554" customFormat="false" ht="15" hidden="false" customHeight="false" outlineLevel="0" collapsed="false">
      <c r="A554" s="0" t="s">
        <v>786</v>
      </c>
      <c r="B554" s="0" t="s">
        <v>146</v>
      </c>
      <c r="C554" s="0" t="s">
        <v>146</v>
      </c>
      <c r="D554" s="0" t="s">
        <v>234</v>
      </c>
      <c r="E554" s="3" t="s">
        <v>208</v>
      </c>
      <c r="G554" s="8" t="s">
        <v>396</v>
      </c>
      <c r="H554" s="0" t="n">
        <v>5.7</v>
      </c>
      <c r="I554" s="0" t="n">
        <v>1.5</v>
      </c>
      <c r="J554" s="0" t="n">
        <v>0.7</v>
      </c>
      <c r="K554" s="0" t="n">
        <v>1.3</v>
      </c>
      <c r="L554" s="0" t="n">
        <v>0</v>
      </c>
      <c r="M554" s="0" t="n">
        <v>0</v>
      </c>
      <c r="N554" s="0" t="n">
        <v>0</v>
      </c>
      <c r="O554" s="8" t="n">
        <f aca="false">ROUND(I554+L554,2)</f>
        <v>1.5</v>
      </c>
      <c r="P554" s="8" t="n">
        <f aca="false">ROUND(J554+M554,2)</f>
        <v>0.7</v>
      </c>
      <c r="Q554" s="8" t="n">
        <f aca="false">ROUND(K554+N554,2)</f>
        <v>1.3</v>
      </c>
    </row>
    <row r="555" customFormat="false" ht="15" hidden="false" customHeight="false" outlineLevel="0" collapsed="false">
      <c r="A555" s="0" t="s">
        <v>787</v>
      </c>
      <c r="B555" s="0" t="s">
        <v>184</v>
      </c>
      <c r="C555" s="0" t="s">
        <v>184</v>
      </c>
      <c r="D555" s="0" t="s">
        <v>234</v>
      </c>
      <c r="E555" s="3" t="s">
        <v>212</v>
      </c>
      <c r="G555" s="8" t="s">
        <v>396</v>
      </c>
      <c r="H555" s="0" t="n">
        <v>6.2</v>
      </c>
      <c r="I555" s="0" t="n">
        <v>1.5</v>
      </c>
      <c r="J555" s="0" t="n">
        <v>1.7</v>
      </c>
      <c r="K555" s="0" t="n">
        <v>0.6</v>
      </c>
      <c r="L555" s="0" t="n">
        <v>0</v>
      </c>
      <c r="M555" s="0" t="n">
        <v>0</v>
      </c>
      <c r="N555" s="0" t="n">
        <v>0</v>
      </c>
      <c r="O555" s="8" t="n">
        <f aca="false">ROUND(I555+L555,2)</f>
        <v>1.5</v>
      </c>
      <c r="P555" s="8" t="n">
        <f aca="false">ROUND(J555+M555,2)</f>
        <v>1.7</v>
      </c>
      <c r="Q555" s="8" t="n">
        <f aca="false">ROUND(K555+N555,2)</f>
        <v>0.6</v>
      </c>
    </row>
    <row r="556" customFormat="false" ht="15" hidden="false" customHeight="false" outlineLevel="0" collapsed="false">
      <c r="A556" s="0" t="s">
        <v>788</v>
      </c>
      <c r="B556" s="0" t="s">
        <v>142</v>
      </c>
      <c r="C556" s="0" t="s">
        <v>142</v>
      </c>
      <c r="D556" s="0" t="s">
        <v>234</v>
      </c>
      <c r="E556" s="3" t="s">
        <v>211</v>
      </c>
      <c r="G556" s="8" t="s">
        <v>396</v>
      </c>
      <c r="H556" s="0" t="n">
        <v>4.4</v>
      </c>
      <c r="I556" s="0" t="n">
        <v>1.4</v>
      </c>
      <c r="J556" s="0" t="n">
        <v>0.9</v>
      </c>
      <c r="K556" s="0" t="n">
        <v>0.4</v>
      </c>
      <c r="L556" s="0" t="n">
        <v>0</v>
      </c>
      <c r="M556" s="0" t="n">
        <v>0</v>
      </c>
      <c r="N556" s="0" t="n">
        <v>0</v>
      </c>
      <c r="O556" s="8" t="n">
        <f aca="false">ROUND(I556+L556,2)</f>
        <v>1.4</v>
      </c>
      <c r="P556" s="8" t="n">
        <f aca="false">ROUND(J556+M556,2)</f>
        <v>0.9</v>
      </c>
      <c r="Q556" s="8" t="n">
        <f aca="false">ROUND(K556+N556,2)</f>
        <v>0.4</v>
      </c>
    </row>
    <row r="557" customFormat="false" ht="15" hidden="false" customHeight="false" outlineLevel="0" collapsed="false">
      <c r="A557" s="0" t="s">
        <v>789</v>
      </c>
      <c r="B557" s="0" t="s">
        <v>83</v>
      </c>
      <c r="C557" s="0" t="s">
        <v>83</v>
      </c>
      <c r="D557" s="0" t="s">
        <v>234</v>
      </c>
      <c r="E557" s="3" t="s">
        <v>212</v>
      </c>
      <c r="G557" s="8" t="s">
        <v>396</v>
      </c>
      <c r="H557" s="0" t="n">
        <v>6.6</v>
      </c>
      <c r="I557" s="0" t="n">
        <v>1.4</v>
      </c>
      <c r="J557" s="0" t="n">
        <v>1.8</v>
      </c>
      <c r="K557" s="0" t="n">
        <v>0.5</v>
      </c>
      <c r="L557" s="0" t="n">
        <v>0</v>
      </c>
      <c r="M557" s="0" t="n">
        <v>0</v>
      </c>
      <c r="N557" s="0" t="n">
        <v>0</v>
      </c>
      <c r="O557" s="8" t="n">
        <f aca="false">ROUND(I557+L557,2)</f>
        <v>1.4</v>
      </c>
      <c r="P557" s="8" t="n">
        <f aca="false">ROUND(J557+M557,2)</f>
        <v>1.8</v>
      </c>
      <c r="Q557" s="8" t="n">
        <f aca="false">ROUND(K557+N557,2)</f>
        <v>0.5</v>
      </c>
    </row>
    <row r="558" customFormat="false" ht="15" hidden="false" customHeight="false" outlineLevel="0" collapsed="false">
      <c r="A558" s="0" t="s">
        <v>790</v>
      </c>
      <c r="B558" s="0" t="s">
        <v>110</v>
      </c>
      <c r="C558" s="0" t="s">
        <v>110</v>
      </c>
      <c r="D558" s="0" t="s">
        <v>234</v>
      </c>
      <c r="E558" s="3" t="s">
        <v>210</v>
      </c>
      <c r="G558" s="8" t="s">
        <v>396</v>
      </c>
      <c r="H558" s="0" t="n">
        <v>5.1</v>
      </c>
      <c r="I558" s="0" t="n">
        <v>1.3</v>
      </c>
      <c r="J558" s="0" t="n">
        <v>0.7</v>
      </c>
      <c r="K558" s="0" t="n">
        <v>0.1</v>
      </c>
      <c r="L558" s="0" t="n">
        <v>0</v>
      </c>
      <c r="M558" s="0" t="n">
        <v>0</v>
      </c>
      <c r="N558" s="0" t="n">
        <v>0</v>
      </c>
      <c r="O558" s="8" t="n">
        <f aca="false">ROUND(I558+L558,2)</f>
        <v>1.3</v>
      </c>
      <c r="P558" s="8" t="n">
        <f aca="false">ROUND(J558+M558,2)</f>
        <v>0.7</v>
      </c>
      <c r="Q558" s="8" t="n">
        <f aca="false">ROUND(K558+N558,2)</f>
        <v>0.1</v>
      </c>
    </row>
    <row r="559" customFormat="false" ht="15" hidden="false" customHeight="false" outlineLevel="0" collapsed="false">
      <c r="A559" s="0" t="s">
        <v>791</v>
      </c>
      <c r="B559" s="0" t="s">
        <v>161</v>
      </c>
      <c r="C559" s="0" t="s">
        <v>161</v>
      </c>
      <c r="D559" s="0" t="s">
        <v>234</v>
      </c>
      <c r="E559" s="3" t="s">
        <v>212</v>
      </c>
      <c r="G559" s="8" t="s">
        <v>396</v>
      </c>
      <c r="H559" s="0" t="n">
        <v>5.3</v>
      </c>
      <c r="I559" s="0" t="n">
        <v>1.3</v>
      </c>
      <c r="J559" s="0" t="n">
        <v>2</v>
      </c>
      <c r="K559" s="0" t="n">
        <v>0.3</v>
      </c>
      <c r="L559" s="0" t="n">
        <v>0</v>
      </c>
      <c r="M559" s="0" t="n">
        <v>0</v>
      </c>
      <c r="N559" s="0" t="n">
        <v>0</v>
      </c>
      <c r="O559" s="8" t="n">
        <f aca="false">ROUND(I559+L559,2)</f>
        <v>1.3</v>
      </c>
      <c r="P559" s="8" t="n">
        <f aca="false">ROUND(J559+M559,2)</f>
        <v>2</v>
      </c>
      <c r="Q559" s="8" t="n">
        <f aca="false">ROUND(K559+N559,2)</f>
        <v>0.3</v>
      </c>
    </row>
    <row r="560" customFormat="false" ht="15" hidden="false" customHeight="false" outlineLevel="0" collapsed="false">
      <c r="A560" s="0" t="s">
        <v>792</v>
      </c>
      <c r="B560" s="0" t="s">
        <v>169</v>
      </c>
      <c r="C560" s="0" t="s">
        <v>169</v>
      </c>
      <c r="D560" s="0" t="s">
        <v>234</v>
      </c>
      <c r="E560" s="3" t="s">
        <v>210</v>
      </c>
      <c r="G560" s="8" t="s">
        <v>396</v>
      </c>
      <c r="H560" s="0" t="n">
        <v>7.2</v>
      </c>
      <c r="I560" s="0" t="n">
        <v>1.3</v>
      </c>
      <c r="J560" s="0" t="n">
        <v>1.2</v>
      </c>
      <c r="K560" s="0" t="n">
        <v>0.3</v>
      </c>
      <c r="L560" s="0" t="n">
        <v>0</v>
      </c>
      <c r="M560" s="0" t="n">
        <v>0</v>
      </c>
      <c r="N560" s="0" t="n">
        <v>0</v>
      </c>
      <c r="O560" s="8" t="n">
        <f aca="false">ROUND(I560+L560,2)</f>
        <v>1.3</v>
      </c>
      <c r="P560" s="8" t="n">
        <f aca="false">ROUND(J560+M560,2)</f>
        <v>1.2</v>
      </c>
      <c r="Q560" s="8" t="n">
        <f aca="false">ROUND(K560+N560,2)</f>
        <v>0.3</v>
      </c>
    </row>
    <row r="561" customFormat="false" ht="15" hidden="false" customHeight="false" outlineLevel="0" collapsed="false">
      <c r="A561" s="0" t="s">
        <v>793</v>
      </c>
      <c r="B561" s="0" t="s">
        <v>154</v>
      </c>
      <c r="C561" s="0" t="s">
        <v>154</v>
      </c>
      <c r="D561" s="0" t="s">
        <v>234</v>
      </c>
      <c r="E561" s="3" t="s">
        <v>210</v>
      </c>
      <c r="G561" s="8" t="s">
        <v>396</v>
      </c>
      <c r="H561" s="0" t="n">
        <v>5.6</v>
      </c>
      <c r="I561" s="0" t="n">
        <v>1.3</v>
      </c>
      <c r="J561" s="0" t="n">
        <v>1</v>
      </c>
      <c r="K561" s="0" t="n">
        <v>0.6</v>
      </c>
      <c r="L561" s="0" t="n">
        <v>0</v>
      </c>
      <c r="M561" s="0" t="n">
        <v>0</v>
      </c>
      <c r="N561" s="0" t="n">
        <v>0</v>
      </c>
      <c r="O561" s="8" t="n">
        <f aca="false">ROUND(I561+L561,2)</f>
        <v>1.3</v>
      </c>
      <c r="P561" s="8" t="n">
        <f aca="false">ROUND(J561+M561,2)</f>
        <v>1</v>
      </c>
      <c r="Q561" s="8" t="n">
        <f aca="false">ROUND(K561+N561,2)</f>
        <v>0.6</v>
      </c>
    </row>
    <row r="562" customFormat="false" ht="15" hidden="false" customHeight="false" outlineLevel="0" collapsed="false">
      <c r="A562" s="0" t="s">
        <v>794</v>
      </c>
      <c r="B562" s="0" t="s">
        <v>126</v>
      </c>
      <c r="C562" s="0" t="s">
        <v>126</v>
      </c>
      <c r="D562" s="0" t="s">
        <v>234</v>
      </c>
      <c r="E562" s="3" t="s">
        <v>208</v>
      </c>
      <c r="G562" s="8" t="s">
        <v>396</v>
      </c>
      <c r="H562" s="0" t="n">
        <v>5.5</v>
      </c>
      <c r="I562" s="0" t="n">
        <v>1.3</v>
      </c>
      <c r="J562" s="0" t="n">
        <v>0.4</v>
      </c>
      <c r="K562" s="0" t="n">
        <v>1.1</v>
      </c>
      <c r="L562" s="0" t="n">
        <v>0</v>
      </c>
      <c r="M562" s="0" t="n">
        <v>0</v>
      </c>
      <c r="N562" s="0" t="n">
        <v>0</v>
      </c>
      <c r="O562" s="8" t="n">
        <f aca="false">ROUND(I562+L562,2)</f>
        <v>1.3</v>
      </c>
      <c r="P562" s="8" t="n">
        <f aca="false">ROUND(J562+M562,2)</f>
        <v>0.4</v>
      </c>
      <c r="Q562" s="8" t="n">
        <f aca="false">ROUND(K562+N562,2)</f>
        <v>1.1</v>
      </c>
    </row>
    <row r="563" customFormat="false" ht="15" hidden="false" customHeight="false" outlineLevel="0" collapsed="false">
      <c r="A563" s="0" t="s">
        <v>795</v>
      </c>
      <c r="B563" s="0" t="s">
        <v>173</v>
      </c>
      <c r="C563" s="0" t="s">
        <v>173</v>
      </c>
      <c r="D563" s="0" t="s">
        <v>234</v>
      </c>
      <c r="E563" s="3" t="s">
        <v>211</v>
      </c>
      <c r="G563" s="8" t="s">
        <v>396</v>
      </c>
      <c r="H563" s="0" t="n">
        <v>4.9</v>
      </c>
      <c r="I563" s="0" t="n">
        <v>1.2</v>
      </c>
      <c r="J563" s="0" t="n">
        <v>1</v>
      </c>
      <c r="K563" s="0" t="n">
        <v>0.4</v>
      </c>
      <c r="L563" s="0" t="n">
        <v>0</v>
      </c>
      <c r="M563" s="0" t="n">
        <v>0</v>
      </c>
      <c r="N563" s="0" t="n">
        <v>0</v>
      </c>
      <c r="O563" s="8" t="n">
        <f aca="false">ROUND(I563+L563,2)</f>
        <v>1.2</v>
      </c>
      <c r="P563" s="8" t="n">
        <f aca="false">ROUND(J563+M563,2)</f>
        <v>1</v>
      </c>
      <c r="Q563" s="8" t="n">
        <f aca="false">ROUND(K563+N563,2)</f>
        <v>0.4</v>
      </c>
    </row>
    <row r="564" customFormat="false" ht="15" hidden="false" customHeight="false" outlineLevel="0" collapsed="false">
      <c r="A564" s="0" t="s">
        <v>796</v>
      </c>
      <c r="B564" s="0" t="s">
        <v>165</v>
      </c>
      <c r="C564" s="0" t="s">
        <v>165</v>
      </c>
      <c r="D564" s="0" t="s">
        <v>234</v>
      </c>
      <c r="E564" s="3" t="s">
        <v>210</v>
      </c>
      <c r="G564" s="8" t="s">
        <v>396</v>
      </c>
      <c r="H564" s="0" t="n">
        <v>8.4</v>
      </c>
      <c r="I564" s="0" t="n">
        <v>1.2</v>
      </c>
      <c r="J564" s="0" t="n">
        <v>0.6</v>
      </c>
      <c r="K564" s="0" t="n">
        <v>0.8</v>
      </c>
      <c r="L564" s="0" t="n">
        <v>0</v>
      </c>
      <c r="M564" s="0" t="n">
        <v>0</v>
      </c>
      <c r="N564" s="0" t="n">
        <v>0</v>
      </c>
      <c r="O564" s="8" t="n">
        <f aca="false">ROUND(I564+L564,2)</f>
        <v>1.2</v>
      </c>
      <c r="P564" s="8" t="n">
        <f aca="false">ROUND(J564+M564,2)</f>
        <v>0.6</v>
      </c>
      <c r="Q564" s="8" t="n">
        <f aca="false">ROUND(K564+N564,2)</f>
        <v>0.8</v>
      </c>
    </row>
    <row r="565" customFormat="false" ht="15" hidden="false" customHeight="false" outlineLevel="0" collapsed="false">
      <c r="A565" s="0" t="s">
        <v>797</v>
      </c>
      <c r="B565" s="0" t="s">
        <v>154</v>
      </c>
      <c r="C565" s="0" t="s">
        <v>154</v>
      </c>
      <c r="D565" s="0" t="s">
        <v>234</v>
      </c>
      <c r="E565" s="3" t="s">
        <v>211</v>
      </c>
      <c r="G565" s="8" t="s">
        <v>396</v>
      </c>
      <c r="H565" s="0" t="n">
        <v>6.3</v>
      </c>
      <c r="I565" s="0" t="n">
        <v>1</v>
      </c>
      <c r="J565" s="0" t="n">
        <v>1.4</v>
      </c>
      <c r="K565" s="0" t="n">
        <v>0.4</v>
      </c>
      <c r="L565" s="0" t="n">
        <v>0</v>
      </c>
      <c r="M565" s="0" t="n">
        <v>0</v>
      </c>
      <c r="N565" s="0" t="n">
        <v>0</v>
      </c>
      <c r="O565" s="8" t="n">
        <f aca="false">ROUND(I565+L565,2)</f>
        <v>1</v>
      </c>
      <c r="P565" s="8" t="n">
        <f aca="false">ROUND(J565+M565,2)</f>
        <v>1.4</v>
      </c>
      <c r="Q565" s="8" t="n">
        <f aca="false">ROUND(K565+N565,2)</f>
        <v>0.4</v>
      </c>
    </row>
    <row r="566" customFormat="false" ht="15" hidden="false" customHeight="false" outlineLevel="0" collapsed="false">
      <c r="A566" s="0" t="s">
        <v>798</v>
      </c>
      <c r="B566" s="0" t="s">
        <v>138</v>
      </c>
      <c r="C566" s="0" t="s">
        <v>138</v>
      </c>
      <c r="D566" s="0" t="s">
        <v>234</v>
      </c>
      <c r="E566" s="3" t="s">
        <v>210</v>
      </c>
      <c r="G566" s="8" t="s">
        <v>396</v>
      </c>
      <c r="H566" s="0" t="n">
        <v>1.9</v>
      </c>
      <c r="I566" s="0" t="n">
        <v>1</v>
      </c>
      <c r="J566" s="0" t="n">
        <v>0.3</v>
      </c>
      <c r="K566" s="0" t="n">
        <v>0</v>
      </c>
      <c r="L566" s="0" t="n">
        <v>0</v>
      </c>
      <c r="M566" s="0" t="n">
        <v>0</v>
      </c>
      <c r="N566" s="0" t="n">
        <v>0</v>
      </c>
      <c r="O566" s="8" t="n">
        <f aca="false">ROUND(I566+L566,2)</f>
        <v>1</v>
      </c>
      <c r="P566" s="8" t="n">
        <f aca="false">ROUND(J566+M566,2)</f>
        <v>0.3</v>
      </c>
      <c r="Q566" s="8" t="n">
        <f aca="false">ROUND(K566+N566,2)</f>
        <v>0</v>
      </c>
    </row>
    <row r="567" customFormat="false" ht="15" hidden="false" customHeight="false" outlineLevel="0" collapsed="false">
      <c r="A567" s="0" t="s">
        <v>799</v>
      </c>
      <c r="B567" s="0" t="s">
        <v>165</v>
      </c>
      <c r="C567" s="0" t="s">
        <v>165</v>
      </c>
      <c r="D567" s="0" t="s">
        <v>234</v>
      </c>
      <c r="E567" s="3" t="s">
        <v>208</v>
      </c>
      <c r="G567" s="8" t="s">
        <v>396</v>
      </c>
      <c r="H567" s="0" t="n">
        <v>3.7</v>
      </c>
      <c r="I567" s="0" t="n">
        <v>1</v>
      </c>
      <c r="J567" s="0" t="n">
        <v>0.1</v>
      </c>
      <c r="K567" s="0" t="n">
        <v>0.6</v>
      </c>
      <c r="L567" s="0" t="n">
        <v>0</v>
      </c>
      <c r="M567" s="0" t="n">
        <v>0</v>
      </c>
      <c r="N567" s="0" t="n">
        <v>0</v>
      </c>
      <c r="O567" s="8" t="n">
        <f aca="false">ROUND(I567+L567,2)</f>
        <v>1</v>
      </c>
      <c r="P567" s="8" t="n">
        <f aca="false">ROUND(J567+M567,2)</f>
        <v>0.1</v>
      </c>
      <c r="Q567" s="8" t="n">
        <f aca="false">ROUND(K567+N567,2)</f>
        <v>0.6</v>
      </c>
    </row>
    <row r="568" customFormat="false" ht="15" hidden="false" customHeight="false" outlineLevel="0" collapsed="false">
      <c r="A568" s="0" t="s">
        <v>800</v>
      </c>
      <c r="B568" s="0" t="s">
        <v>177</v>
      </c>
      <c r="C568" s="0" t="s">
        <v>177</v>
      </c>
      <c r="D568" s="0" t="s">
        <v>234</v>
      </c>
      <c r="E568" s="3" t="s">
        <v>210</v>
      </c>
      <c r="G568" s="8" t="s">
        <v>396</v>
      </c>
      <c r="H568" s="0" t="n">
        <v>8.2</v>
      </c>
      <c r="I568" s="0" t="n">
        <v>1</v>
      </c>
      <c r="J568" s="0" t="n">
        <v>1.2</v>
      </c>
      <c r="K568" s="0" t="n">
        <v>0.4</v>
      </c>
      <c r="L568" s="0" t="n">
        <v>0</v>
      </c>
      <c r="M568" s="0" t="n">
        <v>0</v>
      </c>
      <c r="N568" s="0" t="n">
        <v>0</v>
      </c>
      <c r="O568" s="8" t="n">
        <f aca="false">ROUND(I568+L568,2)</f>
        <v>1</v>
      </c>
      <c r="P568" s="8" t="n">
        <f aca="false">ROUND(J568+M568,2)</f>
        <v>1.2</v>
      </c>
      <c r="Q568" s="8" t="n">
        <f aca="false">ROUND(K568+N568,2)</f>
        <v>0.4</v>
      </c>
    </row>
    <row r="569" customFormat="false" ht="15" hidden="false" customHeight="false" outlineLevel="0" collapsed="false">
      <c r="A569" s="0" t="s">
        <v>801</v>
      </c>
      <c r="B569" s="0" t="s">
        <v>180</v>
      </c>
      <c r="C569" s="0" t="s">
        <v>180</v>
      </c>
      <c r="D569" s="0" t="s">
        <v>234</v>
      </c>
      <c r="E569" s="3" t="s">
        <v>209</v>
      </c>
      <c r="G569" s="8" t="s">
        <v>396</v>
      </c>
      <c r="H569" s="0" t="n">
        <v>3.5</v>
      </c>
      <c r="I569" s="0" t="n">
        <v>1</v>
      </c>
      <c r="J569" s="0" t="n">
        <v>0</v>
      </c>
      <c r="K569" s="0" t="n">
        <v>0.5</v>
      </c>
      <c r="L569" s="0" t="n">
        <v>0</v>
      </c>
      <c r="M569" s="0" t="n">
        <v>0</v>
      </c>
      <c r="N569" s="0" t="n">
        <v>0</v>
      </c>
      <c r="O569" s="8" t="n">
        <f aca="false">ROUND(I569+L569,2)</f>
        <v>1</v>
      </c>
      <c r="P569" s="8" t="n">
        <f aca="false">ROUND(J569+M569,2)</f>
        <v>0</v>
      </c>
      <c r="Q569" s="8" t="n">
        <f aca="false">ROUND(K569+N569,2)</f>
        <v>0.5</v>
      </c>
    </row>
    <row r="570" customFormat="false" ht="15" hidden="false" customHeight="false" outlineLevel="0" collapsed="false">
      <c r="A570" s="0" t="s">
        <v>802</v>
      </c>
      <c r="B570" s="0" t="s">
        <v>180</v>
      </c>
      <c r="C570" s="0" t="s">
        <v>180</v>
      </c>
      <c r="D570" s="0" t="s">
        <v>234</v>
      </c>
      <c r="E570" s="3" t="s">
        <v>210</v>
      </c>
      <c r="G570" s="8" t="s">
        <v>396</v>
      </c>
      <c r="H570" s="0" t="n">
        <v>5.6</v>
      </c>
      <c r="I570" s="0" t="n">
        <v>0.9</v>
      </c>
      <c r="J570" s="0" t="n">
        <v>1</v>
      </c>
      <c r="K570" s="0" t="n">
        <v>0.2</v>
      </c>
      <c r="L570" s="0" t="n">
        <v>0</v>
      </c>
      <c r="M570" s="0" t="n">
        <v>0</v>
      </c>
      <c r="N570" s="0" t="n">
        <v>0</v>
      </c>
      <c r="O570" s="8" t="n">
        <f aca="false">ROUND(I570+L570,2)</f>
        <v>0.9</v>
      </c>
      <c r="P570" s="8" t="n">
        <f aca="false">ROUND(J570+M570,2)</f>
        <v>1</v>
      </c>
      <c r="Q570" s="8" t="n">
        <f aca="false">ROUND(K570+N570,2)</f>
        <v>0.2</v>
      </c>
    </row>
    <row r="571" customFormat="false" ht="15" hidden="false" customHeight="false" outlineLevel="0" collapsed="false">
      <c r="A571" s="0" t="s">
        <v>803</v>
      </c>
      <c r="B571" s="0" t="s">
        <v>165</v>
      </c>
      <c r="C571" s="0" t="s">
        <v>126</v>
      </c>
      <c r="D571" s="0" t="s">
        <v>239</v>
      </c>
      <c r="E571" s="3" t="s">
        <v>212</v>
      </c>
      <c r="G571" s="8" t="s">
        <v>396</v>
      </c>
      <c r="H571" s="0" t="n">
        <v>5</v>
      </c>
      <c r="I571" s="0" t="n">
        <v>0.9</v>
      </c>
      <c r="J571" s="0" t="n">
        <v>1.5</v>
      </c>
      <c r="K571" s="0" t="n">
        <v>0.4</v>
      </c>
      <c r="L571" s="0" t="n">
        <v>0</v>
      </c>
      <c r="M571" s="0" t="n">
        <v>0</v>
      </c>
      <c r="N571" s="0" t="n">
        <v>0</v>
      </c>
      <c r="O571" s="8" t="n">
        <f aca="false">ROUND(I571+L571,2)</f>
        <v>0.9</v>
      </c>
      <c r="P571" s="8" t="n">
        <f aca="false">ROUND(J571+M571,2)</f>
        <v>1.5</v>
      </c>
      <c r="Q571" s="8" t="n">
        <f aca="false">ROUND(K571+N571,2)</f>
        <v>0.4</v>
      </c>
    </row>
    <row r="572" customFormat="false" ht="15" hidden="false" customHeight="false" outlineLevel="0" collapsed="false">
      <c r="A572" s="0" t="s">
        <v>804</v>
      </c>
      <c r="B572" s="0" t="s">
        <v>79</v>
      </c>
      <c r="C572" s="0" t="s">
        <v>79</v>
      </c>
      <c r="D572" s="0" t="s">
        <v>234</v>
      </c>
      <c r="E572" s="3" t="s">
        <v>212</v>
      </c>
      <c r="G572" s="8" t="s">
        <v>396</v>
      </c>
      <c r="H572" s="0" t="n">
        <v>3.8</v>
      </c>
      <c r="I572" s="0" t="n">
        <v>0.8</v>
      </c>
      <c r="J572" s="0" t="n">
        <v>1.8</v>
      </c>
      <c r="K572" s="0" t="n">
        <v>0</v>
      </c>
      <c r="L572" s="0" t="n">
        <v>0</v>
      </c>
      <c r="M572" s="0" t="n">
        <v>0</v>
      </c>
      <c r="N572" s="0" t="n">
        <v>0</v>
      </c>
      <c r="O572" s="8" t="n">
        <f aca="false">ROUND(I572+L572,2)</f>
        <v>0.8</v>
      </c>
      <c r="P572" s="8" t="n">
        <f aca="false">ROUND(J572+M572,2)</f>
        <v>1.8</v>
      </c>
      <c r="Q572" s="8" t="n">
        <f aca="false">ROUND(K572+N572,2)</f>
        <v>0</v>
      </c>
    </row>
    <row r="573" customFormat="false" ht="15" hidden="false" customHeight="false" outlineLevel="0" collapsed="false">
      <c r="A573" s="0" t="s">
        <v>805</v>
      </c>
      <c r="B573" s="0" t="s">
        <v>184</v>
      </c>
      <c r="C573" s="0" t="s">
        <v>184</v>
      </c>
      <c r="D573" s="0" t="s">
        <v>234</v>
      </c>
      <c r="E573" s="3" t="s">
        <v>208</v>
      </c>
      <c r="G573" s="8" t="s">
        <v>396</v>
      </c>
      <c r="H573" s="0" t="n">
        <v>7.2</v>
      </c>
      <c r="I573" s="0" t="n">
        <v>0.8</v>
      </c>
      <c r="J573" s="0" t="n">
        <v>0.2</v>
      </c>
      <c r="K573" s="0" t="n">
        <v>1.6</v>
      </c>
      <c r="L573" s="0" t="n">
        <v>0</v>
      </c>
      <c r="M573" s="0" t="n">
        <v>0</v>
      </c>
      <c r="N573" s="0" t="n">
        <v>0</v>
      </c>
      <c r="O573" s="8" t="n">
        <f aca="false">ROUND(I573+L573,2)</f>
        <v>0.8</v>
      </c>
      <c r="P573" s="8" t="n">
        <f aca="false">ROUND(J573+M573,2)</f>
        <v>0.2</v>
      </c>
      <c r="Q573" s="8" t="n">
        <f aca="false">ROUND(K573+N573,2)</f>
        <v>1.6</v>
      </c>
    </row>
    <row r="574" customFormat="false" ht="15" hidden="false" customHeight="false" outlineLevel="0" collapsed="false">
      <c r="A574" s="0" t="s">
        <v>806</v>
      </c>
      <c r="B574" s="0" t="s">
        <v>138</v>
      </c>
      <c r="C574" s="0" t="s">
        <v>138</v>
      </c>
      <c r="D574" s="0" t="s">
        <v>234</v>
      </c>
      <c r="E574" s="3" t="s">
        <v>212</v>
      </c>
      <c r="G574" s="8" t="s">
        <v>396</v>
      </c>
      <c r="H574" s="0" t="n">
        <v>2.7</v>
      </c>
      <c r="I574" s="0" t="n">
        <v>0.8</v>
      </c>
      <c r="J574" s="0" t="n">
        <v>1</v>
      </c>
      <c r="K574" s="0" t="n">
        <v>0.3</v>
      </c>
      <c r="L574" s="0" t="n">
        <v>0</v>
      </c>
      <c r="M574" s="0" t="n">
        <v>0</v>
      </c>
      <c r="N574" s="0" t="n">
        <v>0</v>
      </c>
      <c r="O574" s="8" t="n">
        <f aca="false">ROUND(I574+L574,2)</f>
        <v>0.8</v>
      </c>
      <c r="P574" s="8" t="n">
        <f aca="false">ROUND(J574+M574,2)</f>
        <v>1</v>
      </c>
      <c r="Q574" s="8" t="n">
        <f aca="false">ROUND(K574+N574,2)</f>
        <v>0.3</v>
      </c>
    </row>
    <row r="575" customFormat="false" ht="15" hidden="false" customHeight="false" outlineLevel="0" collapsed="false">
      <c r="A575" s="0" t="s">
        <v>807</v>
      </c>
      <c r="B575" s="0" t="s">
        <v>130</v>
      </c>
      <c r="C575" s="0" t="s">
        <v>130</v>
      </c>
      <c r="D575" s="0" t="s">
        <v>234</v>
      </c>
      <c r="E575" s="3" t="s">
        <v>211</v>
      </c>
      <c r="G575" s="8" t="s">
        <v>396</v>
      </c>
      <c r="H575" s="0" t="n">
        <v>5.1</v>
      </c>
      <c r="I575" s="0" t="n">
        <v>0.8</v>
      </c>
      <c r="J575" s="0" t="n">
        <v>1.1</v>
      </c>
      <c r="K575" s="0" t="n">
        <v>0.3</v>
      </c>
      <c r="L575" s="0" t="n">
        <v>0</v>
      </c>
      <c r="M575" s="0" t="n">
        <v>0</v>
      </c>
      <c r="N575" s="0" t="n">
        <v>0</v>
      </c>
      <c r="O575" s="8" t="n">
        <f aca="false">ROUND(I575+L575,2)</f>
        <v>0.8</v>
      </c>
      <c r="P575" s="8" t="n">
        <f aca="false">ROUND(J575+M575,2)</f>
        <v>1.1</v>
      </c>
      <c r="Q575" s="8" t="n">
        <f aca="false">ROUND(K575+N575,2)</f>
        <v>0.3</v>
      </c>
    </row>
    <row r="576" customFormat="false" ht="15" hidden="false" customHeight="false" outlineLevel="0" collapsed="false">
      <c r="A576" s="0" t="s">
        <v>808</v>
      </c>
      <c r="B576" s="0" t="s">
        <v>91</v>
      </c>
      <c r="C576" s="0" t="s">
        <v>91</v>
      </c>
      <c r="D576" s="0" t="s">
        <v>234</v>
      </c>
      <c r="E576" s="3" t="s">
        <v>210</v>
      </c>
      <c r="G576" s="8" t="s">
        <v>396</v>
      </c>
      <c r="H576" s="0" t="n">
        <v>10.7</v>
      </c>
      <c r="I576" s="0" t="n">
        <v>0.8</v>
      </c>
      <c r="J576" s="0" t="n">
        <v>1.5</v>
      </c>
      <c r="K576" s="0" t="n">
        <v>0.3</v>
      </c>
      <c r="L576" s="0" t="n">
        <v>0.048</v>
      </c>
      <c r="M576" s="0" t="n">
        <v>0.088</v>
      </c>
      <c r="N576" s="0" t="n">
        <v>0.018</v>
      </c>
      <c r="O576" s="8" t="n">
        <f aca="false">ROUND(I576+L576,2)</f>
        <v>0.85</v>
      </c>
      <c r="P576" s="8" t="n">
        <f aca="false">ROUND(J576+M576,2)</f>
        <v>1.59</v>
      </c>
      <c r="Q576" s="8" t="n">
        <f aca="false">ROUND(K576+N576,2)</f>
        <v>0.32</v>
      </c>
    </row>
    <row r="577" customFormat="false" ht="15" hidden="false" customHeight="false" outlineLevel="0" collapsed="false">
      <c r="A577" s="0" t="s">
        <v>809</v>
      </c>
      <c r="B577" s="0" t="s">
        <v>184</v>
      </c>
      <c r="C577" s="0" t="s">
        <v>184</v>
      </c>
      <c r="D577" s="0" t="s">
        <v>234</v>
      </c>
      <c r="E577" s="3" t="s">
        <v>209</v>
      </c>
      <c r="G577" s="8" t="s">
        <v>396</v>
      </c>
      <c r="H577" s="0" t="n">
        <v>3.3</v>
      </c>
      <c r="I577" s="0" t="n">
        <v>0.8</v>
      </c>
      <c r="J577" s="0" t="n">
        <v>0.4</v>
      </c>
      <c r="K577" s="0" t="n">
        <v>0.4</v>
      </c>
      <c r="L577" s="0" t="n">
        <v>0</v>
      </c>
      <c r="M577" s="0" t="n">
        <v>0</v>
      </c>
      <c r="N577" s="0" t="n">
        <v>0</v>
      </c>
      <c r="O577" s="8" t="n">
        <f aca="false">ROUND(I577+L577,2)</f>
        <v>0.8</v>
      </c>
      <c r="P577" s="8" t="n">
        <f aca="false">ROUND(J577+M577,2)</f>
        <v>0.4</v>
      </c>
      <c r="Q577" s="8" t="n">
        <f aca="false">ROUND(K577+N577,2)</f>
        <v>0.4</v>
      </c>
    </row>
    <row r="578" customFormat="false" ht="15" hidden="false" customHeight="false" outlineLevel="0" collapsed="false">
      <c r="A578" s="0" t="s">
        <v>810</v>
      </c>
      <c r="B578" s="0" t="s">
        <v>83</v>
      </c>
      <c r="C578" s="0" t="s">
        <v>83</v>
      </c>
      <c r="D578" s="0" t="s">
        <v>234</v>
      </c>
      <c r="E578" s="3" t="s">
        <v>210</v>
      </c>
      <c r="G578" s="8" t="s">
        <v>396</v>
      </c>
      <c r="H578" s="0" t="n">
        <v>3.3</v>
      </c>
      <c r="I578" s="0" t="n">
        <v>0.6</v>
      </c>
      <c r="J578" s="0" t="n">
        <v>0.5</v>
      </c>
      <c r="K578" s="0" t="n">
        <v>0.2</v>
      </c>
      <c r="L578" s="0" t="n">
        <v>0</v>
      </c>
      <c r="M578" s="0" t="n">
        <v>0</v>
      </c>
      <c r="N578" s="0" t="n">
        <v>0</v>
      </c>
      <c r="O578" s="8" t="n">
        <f aca="false">ROUND(I578+L578,2)</f>
        <v>0.6</v>
      </c>
      <c r="P578" s="8" t="n">
        <f aca="false">ROUND(J578+M578,2)</f>
        <v>0.5</v>
      </c>
      <c r="Q578" s="8" t="n">
        <f aca="false">ROUND(K578+N578,2)</f>
        <v>0.2</v>
      </c>
    </row>
    <row r="579" customFormat="false" ht="15" hidden="false" customHeight="false" outlineLevel="0" collapsed="false">
      <c r="A579" s="0" t="s">
        <v>811</v>
      </c>
      <c r="B579" s="0" t="s">
        <v>126</v>
      </c>
      <c r="C579" s="0" t="s">
        <v>126</v>
      </c>
      <c r="D579" s="0" t="s">
        <v>234</v>
      </c>
      <c r="E579" s="3" t="s">
        <v>210</v>
      </c>
      <c r="G579" s="8" t="s">
        <v>396</v>
      </c>
      <c r="H579" s="0" t="n">
        <v>4</v>
      </c>
      <c r="I579" s="0" t="n">
        <v>0.1</v>
      </c>
      <c r="J579" s="0" t="n">
        <v>0.4</v>
      </c>
      <c r="K579" s="0" t="n">
        <v>0.1</v>
      </c>
      <c r="L579" s="0" t="n">
        <v>0</v>
      </c>
      <c r="M579" s="0" t="n">
        <v>0</v>
      </c>
      <c r="N579" s="0" t="n">
        <v>0</v>
      </c>
      <c r="O579" s="8" t="n">
        <f aca="false">ROUND(I579+L579,2)</f>
        <v>0.1</v>
      </c>
      <c r="P579" s="8" t="n">
        <f aca="false">ROUND(J579+M579,2)</f>
        <v>0.4</v>
      </c>
      <c r="Q579" s="8" t="n">
        <f aca="false">ROUND(K579+N579,2)</f>
        <v>0.1</v>
      </c>
    </row>
    <row r="580" customFormat="false" ht="15" hidden="false" customHeight="false" outlineLevel="0" collapsed="false">
      <c r="A580" s="0" t="s">
        <v>812</v>
      </c>
      <c r="B580" s="0" t="s">
        <v>98</v>
      </c>
      <c r="C580" s="0" t="s">
        <v>98</v>
      </c>
      <c r="D580" s="0" t="s">
        <v>234</v>
      </c>
      <c r="E580" s="3" t="s">
        <v>212</v>
      </c>
      <c r="G580" s="8" t="s">
        <v>396</v>
      </c>
      <c r="H580" s="0" t="n">
        <v>3</v>
      </c>
      <c r="I580" s="0" t="n">
        <v>0</v>
      </c>
      <c r="J580" s="0" t="n">
        <v>1</v>
      </c>
      <c r="K580" s="0" t="n">
        <v>0</v>
      </c>
      <c r="L580" s="0" t="n">
        <v>0</v>
      </c>
      <c r="M580" s="0" t="n">
        <v>0</v>
      </c>
      <c r="N580" s="0" t="n">
        <v>0</v>
      </c>
      <c r="O580" s="8" t="n">
        <f aca="false">ROUND(I580+L580,2)</f>
        <v>0</v>
      </c>
      <c r="P580" s="8" t="n">
        <f aca="false">ROUND(J580+M580,2)</f>
        <v>1</v>
      </c>
      <c r="Q580" s="8" t="n">
        <f aca="false">ROUND(K580+N580,2)</f>
        <v>0</v>
      </c>
    </row>
    <row r="581" customFormat="false" ht="15" hidden="false" customHeight="false" outlineLevel="0" collapsed="false">
      <c r="A581" s="0" t="s">
        <v>813</v>
      </c>
      <c r="B581" s="0" t="s">
        <v>94</v>
      </c>
      <c r="C581" s="0" t="s">
        <v>94</v>
      </c>
      <c r="D581" s="0" t="s">
        <v>234</v>
      </c>
      <c r="E581" s="3" t="s">
        <v>210</v>
      </c>
      <c r="G581" s="8" t="s">
        <v>396</v>
      </c>
      <c r="H581" s="0" t="n">
        <v>3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8" t="n">
        <f aca="false">ROUND(I581+L581,2)</f>
        <v>0</v>
      </c>
      <c r="P581" s="8" t="n">
        <f aca="false">ROUND(J581+M581,2)</f>
        <v>0</v>
      </c>
      <c r="Q581" s="8" t="n">
        <f aca="false">ROUND(K581+N581,2)</f>
        <v>0</v>
      </c>
    </row>
    <row r="582" customFormat="false" ht="15" hidden="false" customHeight="false" outlineLevel="0" collapsed="false">
      <c r="A582" s="0" t="s">
        <v>814</v>
      </c>
      <c r="B582" s="0" t="s">
        <v>154</v>
      </c>
      <c r="C582" s="0" t="s">
        <v>154</v>
      </c>
      <c r="D582" s="0" t="s">
        <v>234</v>
      </c>
      <c r="E582" s="3" t="s">
        <v>212</v>
      </c>
      <c r="G582" s="8" t="s">
        <v>396</v>
      </c>
      <c r="H582" s="0" t="n">
        <v>1.6</v>
      </c>
      <c r="I582" s="0" t="n">
        <v>0</v>
      </c>
      <c r="J582" s="0" t="n">
        <v>0.4</v>
      </c>
      <c r="K582" s="0" t="n">
        <v>0</v>
      </c>
      <c r="L582" s="0" t="n">
        <v>0</v>
      </c>
      <c r="M582" s="0" t="n">
        <v>0</v>
      </c>
      <c r="N582" s="0" t="n">
        <v>0</v>
      </c>
      <c r="O582" s="8" t="n">
        <f aca="false">ROUND(I582+L582,2)</f>
        <v>0</v>
      </c>
      <c r="P582" s="8" t="n">
        <f aca="false">ROUND(J582+M582,2)</f>
        <v>0.4</v>
      </c>
      <c r="Q582" s="8" t="n">
        <f aca="false">ROUND(K582+N582,2)</f>
        <v>0</v>
      </c>
    </row>
    <row r="583" customFormat="false" ht="15" hidden="false" customHeight="false" outlineLevel="0" collapsed="false">
      <c r="A583" s="0" t="s">
        <v>815</v>
      </c>
      <c r="B583" s="0" t="s">
        <v>184</v>
      </c>
      <c r="C583" s="0" t="s">
        <v>184</v>
      </c>
      <c r="D583" s="0" t="s">
        <v>234</v>
      </c>
      <c r="E583" s="3" t="s">
        <v>208</v>
      </c>
      <c r="G583" s="8" t="s">
        <v>396</v>
      </c>
      <c r="H583" s="0" t="n">
        <v>6.5</v>
      </c>
      <c r="I583" s="0" t="n">
        <v>0</v>
      </c>
      <c r="J583" s="0" t="n">
        <v>0.5</v>
      </c>
      <c r="K583" s="0" t="n">
        <v>1</v>
      </c>
      <c r="L583" s="0" t="n">
        <v>0</v>
      </c>
      <c r="M583" s="0" t="n">
        <v>0</v>
      </c>
      <c r="N583" s="0" t="n">
        <v>0</v>
      </c>
      <c r="O583" s="8" t="n">
        <f aca="false">ROUND(I583+L583,2)</f>
        <v>0</v>
      </c>
      <c r="P583" s="8" t="n">
        <f aca="false">ROUND(J583+M583,2)</f>
        <v>0.5</v>
      </c>
      <c r="Q583" s="8" t="n">
        <f aca="false">ROUND(K583+N583,2)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5" t="s">
        <v>816</v>
      </c>
    </row>
    <row r="2" customFormat="false" ht="15" hidden="false" customHeight="false" outlineLevel="0" collapsed="false">
      <c r="A2" s="0" t="s">
        <v>817</v>
      </c>
    </row>
    <row r="4" customFormat="false" ht="15" hidden="false" customHeight="false" outlineLevel="0" collapsed="false">
      <c r="A4" s="0" t="s">
        <v>818</v>
      </c>
      <c r="B4" s="0" t="n">
        <f aca="false">COUNT(I9:I508)</f>
        <v>0</v>
      </c>
      <c r="D4" s="0" t="s">
        <v>819</v>
      </c>
      <c r="F4" s="7" t="str">
        <f aca="false">IF(B4=0,"",AVERAGE(J9:J508))</f>
        <v/>
      </c>
    </row>
    <row r="5" customFormat="false" ht="15" hidden="false" customHeight="false" outlineLevel="0" collapsed="false">
      <c r="A5" s="0" t="s">
        <v>820</v>
      </c>
      <c r="B5" s="13" t="str">
        <f aca="false">IF(B4=0,"",AVERAGE(I9:I508))</f>
        <v/>
      </c>
      <c r="D5" s="8" t="s">
        <v>821</v>
      </c>
    </row>
    <row r="6" customFormat="false" ht="15" hidden="false" customHeight="false" outlineLevel="0" collapsed="false">
      <c r="A6" s="0" t="s">
        <v>822</v>
      </c>
      <c r="B6" s="13" t="str">
        <f aca="false">IF(B4=0,"",SUMPRODUCT(ISNUMBER(I9:I508)*G9:G508)/B4)</f>
        <v/>
      </c>
    </row>
    <row r="8" customFormat="false" ht="28.35" hidden="false" customHeight="false" outlineLevel="0" collapsed="false">
      <c r="A8" s="5" t="s">
        <v>823</v>
      </c>
      <c r="B8" s="5" t="s">
        <v>1</v>
      </c>
      <c r="C8" s="5" t="s">
        <v>9</v>
      </c>
      <c r="D8" s="5" t="s">
        <v>824</v>
      </c>
      <c r="E8" s="5" t="s">
        <v>24</v>
      </c>
      <c r="F8" s="5" t="s">
        <v>43</v>
      </c>
      <c r="G8" s="5" t="s">
        <v>825</v>
      </c>
      <c r="H8" s="5" t="s">
        <v>826</v>
      </c>
      <c r="I8" s="5" t="s">
        <v>827</v>
      </c>
      <c r="J8" s="5" t="s">
        <v>828</v>
      </c>
    </row>
    <row r="9" customFormat="false" ht="15" hidden="false" customHeight="false" outlineLevel="0" collapsed="false">
      <c r="G9" s="13"/>
      <c r="I9" s="0" t="str">
        <f aca="false">IF(OR(H9="",E9="",D9=""),"",IF(H9=E9,"push",IF(D9="Over",IF(H9&gt;E9,1,0),IF(H9&lt;E9,1,0))))</f>
        <v/>
      </c>
      <c r="J9" s="0" t="str">
        <f aca="false">IF(AND(ISNUMBER(I9),G9&lt;&gt;""),(G9-I9)^2,"")</f>
        <v/>
      </c>
    </row>
    <row r="10" customFormat="false" ht="15" hidden="false" customHeight="false" outlineLevel="0" collapsed="false">
      <c r="G10" s="13"/>
      <c r="I10" s="0" t="str">
        <f aca="false">IF(OR(H10="",E10="",D10=""),"",IF(H10=E10,"push",IF(D10="Over",IF(H10&gt;E10,1,0),IF(H10&lt;E10,1,0))))</f>
        <v/>
      </c>
      <c r="J10" s="0" t="str">
        <f aca="false">IF(AND(ISNUMBER(I10),G10&lt;&gt;""),(G10-I10)^2,"")</f>
        <v/>
      </c>
    </row>
    <row r="11" customFormat="false" ht="15" hidden="false" customHeight="false" outlineLevel="0" collapsed="false">
      <c r="G11" s="13"/>
      <c r="I11" s="0" t="str">
        <f aca="false">IF(OR(H11="",E11="",D11=""),"",IF(H11=E11,"push",IF(D11="Over",IF(H11&gt;E11,1,0),IF(H11&lt;E11,1,0))))</f>
        <v/>
      </c>
      <c r="J11" s="0" t="str">
        <f aca="false">IF(AND(ISNUMBER(I11),G11&lt;&gt;""),(G11-I11)^2,"")</f>
        <v/>
      </c>
    </row>
    <row r="12" customFormat="false" ht="15" hidden="false" customHeight="false" outlineLevel="0" collapsed="false">
      <c r="G12" s="13"/>
      <c r="I12" s="0" t="str">
        <f aca="false">IF(OR(H12="",E12="",D12=""),"",IF(H12=E12,"push",IF(D12="Over",IF(H12&gt;E12,1,0),IF(H12&lt;E12,1,0))))</f>
        <v/>
      </c>
      <c r="J12" s="0" t="str">
        <f aca="false">IF(AND(ISNUMBER(I12),G12&lt;&gt;""),(G12-I12)^2,"")</f>
        <v/>
      </c>
    </row>
    <row r="13" customFormat="false" ht="15" hidden="false" customHeight="false" outlineLevel="0" collapsed="false">
      <c r="G13" s="13"/>
      <c r="I13" s="0" t="str">
        <f aca="false">IF(OR(H13="",E13="",D13=""),"",IF(H13=E13,"push",IF(D13="Over",IF(H13&gt;E13,1,0),IF(H13&lt;E13,1,0))))</f>
        <v/>
      </c>
      <c r="J13" s="0" t="str">
        <f aca="false">IF(AND(ISNUMBER(I13),G13&lt;&gt;""),(G13-I13)^2,"")</f>
        <v/>
      </c>
    </row>
    <row r="14" customFormat="false" ht="15" hidden="false" customHeight="false" outlineLevel="0" collapsed="false">
      <c r="G14" s="13"/>
      <c r="I14" s="0" t="str">
        <f aca="false">IF(OR(H14="",E14="",D14=""),"",IF(H14=E14,"push",IF(D14="Over",IF(H14&gt;E14,1,0),IF(H14&lt;E14,1,0))))</f>
        <v/>
      </c>
      <c r="J14" s="0" t="str">
        <f aca="false">IF(AND(ISNUMBER(I14),G14&lt;&gt;""),(G14-I14)^2,"")</f>
        <v/>
      </c>
    </row>
    <row r="15" customFormat="false" ht="15" hidden="false" customHeight="false" outlineLevel="0" collapsed="false">
      <c r="G15" s="13"/>
      <c r="I15" s="0" t="str">
        <f aca="false">IF(OR(H15="",E15="",D15=""),"",IF(H15=E15,"push",IF(D15="Over",IF(H15&gt;E15,1,0),IF(H15&lt;E15,1,0))))</f>
        <v/>
      </c>
      <c r="J15" s="0" t="str">
        <f aca="false">IF(AND(ISNUMBER(I15),G15&lt;&gt;""),(G15-I15)^2,"")</f>
        <v/>
      </c>
    </row>
    <row r="16" customFormat="false" ht="15" hidden="false" customHeight="false" outlineLevel="0" collapsed="false">
      <c r="G16" s="13"/>
      <c r="I16" s="0" t="str">
        <f aca="false">IF(OR(H16="",E16="",D16=""),"",IF(H16=E16,"push",IF(D16="Over",IF(H16&gt;E16,1,0),IF(H16&lt;E16,1,0))))</f>
        <v/>
      </c>
      <c r="J16" s="0" t="str">
        <f aca="false">IF(AND(ISNUMBER(I16),G16&lt;&gt;""),(G16-I16)^2,"")</f>
        <v/>
      </c>
    </row>
    <row r="17" customFormat="false" ht="15" hidden="false" customHeight="false" outlineLevel="0" collapsed="false">
      <c r="G17" s="13"/>
      <c r="I17" s="0" t="str">
        <f aca="false">IF(OR(H17="",E17="",D17=""),"",IF(H17=E17,"push",IF(D17="Over",IF(H17&gt;E17,1,0),IF(H17&lt;E17,1,0))))</f>
        <v/>
      </c>
      <c r="J17" s="0" t="str">
        <f aca="false">IF(AND(ISNUMBER(I17),G17&lt;&gt;""),(G17-I17)^2,"")</f>
        <v/>
      </c>
    </row>
    <row r="18" customFormat="false" ht="15" hidden="false" customHeight="false" outlineLevel="0" collapsed="false">
      <c r="G18" s="13"/>
      <c r="I18" s="0" t="str">
        <f aca="false">IF(OR(H18="",E18="",D18=""),"",IF(H18=E18,"push",IF(D18="Over",IF(H18&gt;E18,1,0),IF(H18&lt;E18,1,0))))</f>
        <v/>
      </c>
      <c r="J18" s="0" t="str">
        <f aca="false">IF(AND(ISNUMBER(I18),G18&lt;&gt;""),(G18-I18)^2,"")</f>
        <v/>
      </c>
    </row>
    <row r="19" customFormat="false" ht="15" hidden="false" customHeight="false" outlineLevel="0" collapsed="false">
      <c r="G19" s="13"/>
      <c r="I19" s="0" t="str">
        <f aca="false">IF(OR(H19="",E19="",D19=""),"",IF(H19=E19,"push",IF(D19="Over",IF(H19&gt;E19,1,0),IF(H19&lt;E19,1,0))))</f>
        <v/>
      </c>
      <c r="J19" s="0" t="str">
        <f aca="false">IF(AND(ISNUMBER(I19),G19&lt;&gt;""),(G19-I19)^2,"")</f>
        <v/>
      </c>
    </row>
    <row r="20" customFormat="false" ht="15" hidden="false" customHeight="false" outlineLevel="0" collapsed="false">
      <c r="G20" s="13"/>
      <c r="I20" s="0" t="str">
        <f aca="false">IF(OR(H20="",E20="",D20=""),"",IF(H20=E20,"push",IF(D20="Over",IF(H20&gt;E20,1,0),IF(H20&lt;E20,1,0))))</f>
        <v/>
      </c>
      <c r="J20" s="0" t="str">
        <f aca="false">IF(AND(ISNUMBER(I20),G20&lt;&gt;""),(G20-I20)^2,"")</f>
        <v/>
      </c>
    </row>
    <row r="21" customFormat="false" ht="15" hidden="false" customHeight="false" outlineLevel="0" collapsed="false">
      <c r="G21" s="13"/>
      <c r="I21" s="0" t="str">
        <f aca="false">IF(OR(H21="",E21="",D21=""),"",IF(H21=E21,"push",IF(D21="Over",IF(H21&gt;E21,1,0),IF(H21&lt;E21,1,0))))</f>
        <v/>
      </c>
      <c r="J21" s="0" t="str">
        <f aca="false">IF(AND(ISNUMBER(I21),G21&lt;&gt;""),(G21-I21)^2,"")</f>
        <v/>
      </c>
    </row>
    <row r="22" customFormat="false" ht="15" hidden="false" customHeight="false" outlineLevel="0" collapsed="false">
      <c r="G22" s="13"/>
      <c r="I22" s="0" t="str">
        <f aca="false">IF(OR(H22="",E22="",D22=""),"",IF(H22=E22,"push",IF(D22="Over",IF(H22&gt;E22,1,0),IF(H22&lt;E22,1,0))))</f>
        <v/>
      </c>
      <c r="J22" s="0" t="str">
        <f aca="false">IF(AND(ISNUMBER(I22),G22&lt;&gt;""),(G22-I22)^2,"")</f>
        <v/>
      </c>
    </row>
    <row r="23" customFormat="false" ht="15" hidden="false" customHeight="false" outlineLevel="0" collapsed="false">
      <c r="G23" s="13"/>
      <c r="I23" s="0" t="str">
        <f aca="false">IF(OR(H23="",E23="",D23=""),"",IF(H23=E23,"push",IF(D23="Over",IF(H23&gt;E23,1,0),IF(H23&lt;E23,1,0))))</f>
        <v/>
      </c>
      <c r="J23" s="0" t="str">
        <f aca="false">IF(AND(ISNUMBER(I23),G23&lt;&gt;""),(G23-I23)^2,"")</f>
        <v/>
      </c>
    </row>
    <row r="24" customFormat="false" ht="15" hidden="false" customHeight="false" outlineLevel="0" collapsed="false">
      <c r="G24" s="13"/>
      <c r="I24" s="0" t="str">
        <f aca="false">IF(OR(H24="",E24="",D24=""),"",IF(H24=E24,"push",IF(D24="Over",IF(H24&gt;E24,1,0),IF(H24&lt;E24,1,0))))</f>
        <v/>
      </c>
      <c r="J24" s="0" t="str">
        <f aca="false">IF(AND(ISNUMBER(I24),G24&lt;&gt;""),(G24-I24)^2,"")</f>
        <v/>
      </c>
    </row>
    <row r="25" customFormat="false" ht="15" hidden="false" customHeight="false" outlineLevel="0" collapsed="false">
      <c r="G25" s="13"/>
      <c r="I25" s="0" t="str">
        <f aca="false">IF(OR(H25="",E25="",D25=""),"",IF(H25=E25,"push",IF(D25="Over",IF(H25&gt;E25,1,0),IF(H25&lt;E25,1,0))))</f>
        <v/>
      </c>
      <c r="J25" s="0" t="str">
        <f aca="false">IF(AND(ISNUMBER(I25),G25&lt;&gt;""),(G25-I25)^2,"")</f>
        <v/>
      </c>
    </row>
    <row r="26" customFormat="false" ht="15" hidden="false" customHeight="false" outlineLevel="0" collapsed="false">
      <c r="G26" s="13"/>
      <c r="I26" s="0" t="str">
        <f aca="false">IF(OR(H26="",E26="",D26=""),"",IF(H26=E26,"push",IF(D26="Over",IF(H26&gt;E26,1,0),IF(H26&lt;E26,1,0))))</f>
        <v/>
      </c>
      <c r="J26" s="0" t="str">
        <f aca="false">IF(AND(ISNUMBER(I26),G26&lt;&gt;""),(G26-I26)^2,"")</f>
        <v/>
      </c>
    </row>
    <row r="27" customFormat="false" ht="15" hidden="false" customHeight="false" outlineLevel="0" collapsed="false">
      <c r="G27" s="13"/>
      <c r="I27" s="0" t="str">
        <f aca="false">IF(OR(H27="",E27="",D27=""),"",IF(H27=E27,"push",IF(D27="Over",IF(H27&gt;E27,1,0),IF(H27&lt;E27,1,0))))</f>
        <v/>
      </c>
      <c r="J27" s="0" t="str">
        <f aca="false">IF(AND(ISNUMBER(I27),G27&lt;&gt;""),(G27-I27)^2,"")</f>
        <v/>
      </c>
    </row>
    <row r="28" customFormat="false" ht="15" hidden="false" customHeight="false" outlineLevel="0" collapsed="false">
      <c r="G28" s="13"/>
      <c r="I28" s="0" t="str">
        <f aca="false">IF(OR(H28="",E28="",D28=""),"",IF(H28=E28,"push",IF(D28="Over",IF(H28&gt;E28,1,0),IF(H28&lt;E28,1,0))))</f>
        <v/>
      </c>
      <c r="J28" s="0" t="str">
        <f aca="false">IF(AND(ISNUMBER(I28),G28&lt;&gt;""),(G28-I28)^2,"")</f>
        <v/>
      </c>
    </row>
    <row r="29" customFormat="false" ht="15" hidden="false" customHeight="false" outlineLevel="0" collapsed="false">
      <c r="G29" s="13"/>
      <c r="I29" s="0" t="str">
        <f aca="false">IF(OR(H29="",E29="",D29=""),"",IF(H29=E29,"push",IF(D29="Over",IF(H29&gt;E29,1,0),IF(H29&lt;E29,1,0))))</f>
        <v/>
      </c>
      <c r="J29" s="0" t="str">
        <f aca="false">IF(AND(ISNUMBER(I29),G29&lt;&gt;""),(G29-I29)^2,"")</f>
        <v/>
      </c>
    </row>
    <row r="30" customFormat="false" ht="15" hidden="false" customHeight="false" outlineLevel="0" collapsed="false">
      <c r="G30" s="13"/>
      <c r="I30" s="0" t="str">
        <f aca="false">IF(OR(H30="",E30="",D30=""),"",IF(H30=E30,"push",IF(D30="Over",IF(H30&gt;E30,1,0),IF(H30&lt;E30,1,0))))</f>
        <v/>
      </c>
      <c r="J30" s="0" t="str">
        <f aca="false">IF(AND(ISNUMBER(I30),G30&lt;&gt;""),(G30-I30)^2,"")</f>
        <v/>
      </c>
    </row>
    <row r="31" customFormat="false" ht="15" hidden="false" customHeight="false" outlineLevel="0" collapsed="false">
      <c r="G31" s="13"/>
      <c r="I31" s="0" t="str">
        <f aca="false">IF(OR(H31="",E31="",D31=""),"",IF(H31=E31,"push",IF(D31="Over",IF(H31&gt;E31,1,0),IF(H31&lt;E31,1,0))))</f>
        <v/>
      </c>
      <c r="J31" s="0" t="str">
        <f aca="false">IF(AND(ISNUMBER(I31),G31&lt;&gt;""),(G31-I31)^2,"")</f>
        <v/>
      </c>
    </row>
    <row r="32" customFormat="false" ht="15" hidden="false" customHeight="false" outlineLevel="0" collapsed="false">
      <c r="G32" s="13"/>
      <c r="I32" s="0" t="str">
        <f aca="false">IF(OR(H32="",E32="",D32=""),"",IF(H32=E32,"push",IF(D32="Over",IF(H32&gt;E32,1,0),IF(H32&lt;E32,1,0))))</f>
        <v/>
      </c>
      <c r="J32" s="0" t="str">
        <f aca="false">IF(AND(ISNUMBER(I32),G32&lt;&gt;""),(G32-I32)^2,"")</f>
        <v/>
      </c>
    </row>
    <row r="33" customFormat="false" ht="15" hidden="false" customHeight="false" outlineLevel="0" collapsed="false">
      <c r="G33" s="13"/>
      <c r="I33" s="0" t="str">
        <f aca="false">IF(OR(H33="",E33="",D33=""),"",IF(H33=E33,"push",IF(D33="Over",IF(H33&gt;E33,1,0),IF(H33&lt;E33,1,0))))</f>
        <v/>
      </c>
      <c r="J33" s="0" t="str">
        <f aca="false">IF(AND(ISNUMBER(I33),G33&lt;&gt;""),(G33-I33)^2,"")</f>
        <v/>
      </c>
    </row>
    <row r="34" customFormat="false" ht="15" hidden="false" customHeight="false" outlineLevel="0" collapsed="false">
      <c r="G34" s="13"/>
      <c r="I34" s="0" t="str">
        <f aca="false">IF(OR(H34="",E34="",D34=""),"",IF(H34=E34,"push",IF(D34="Over",IF(H34&gt;E34,1,0),IF(H34&lt;E34,1,0))))</f>
        <v/>
      </c>
      <c r="J34" s="0" t="str">
        <f aca="false">IF(AND(ISNUMBER(I34),G34&lt;&gt;""),(G34-I34)^2,"")</f>
        <v/>
      </c>
    </row>
    <row r="35" customFormat="false" ht="15" hidden="false" customHeight="false" outlineLevel="0" collapsed="false">
      <c r="G35" s="13"/>
      <c r="I35" s="0" t="str">
        <f aca="false">IF(OR(H35="",E35="",D35=""),"",IF(H35=E35,"push",IF(D35="Over",IF(H35&gt;E35,1,0),IF(H35&lt;E35,1,0))))</f>
        <v/>
      </c>
      <c r="J35" s="0" t="str">
        <f aca="false">IF(AND(ISNUMBER(I35),G35&lt;&gt;""),(G35-I35)^2,"")</f>
        <v/>
      </c>
    </row>
    <row r="36" customFormat="false" ht="15" hidden="false" customHeight="false" outlineLevel="0" collapsed="false">
      <c r="G36" s="13"/>
      <c r="I36" s="0" t="str">
        <f aca="false">IF(OR(H36="",E36="",D36=""),"",IF(H36=E36,"push",IF(D36="Over",IF(H36&gt;E36,1,0),IF(H36&lt;E36,1,0))))</f>
        <v/>
      </c>
      <c r="J36" s="0" t="str">
        <f aca="false">IF(AND(ISNUMBER(I36),G36&lt;&gt;""),(G36-I36)^2,"")</f>
        <v/>
      </c>
    </row>
    <row r="37" customFormat="false" ht="15" hidden="false" customHeight="false" outlineLevel="0" collapsed="false">
      <c r="G37" s="13"/>
      <c r="I37" s="0" t="str">
        <f aca="false">IF(OR(H37="",E37="",D37=""),"",IF(H37=E37,"push",IF(D37="Over",IF(H37&gt;E37,1,0),IF(H37&lt;E37,1,0))))</f>
        <v/>
      </c>
      <c r="J37" s="0" t="str">
        <f aca="false">IF(AND(ISNUMBER(I37),G37&lt;&gt;""),(G37-I37)^2,"")</f>
        <v/>
      </c>
    </row>
    <row r="38" customFormat="false" ht="15" hidden="false" customHeight="false" outlineLevel="0" collapsed="false">
      <c r="G38" s="13"/>
      <c r="I38" s="0" t="str">
        <f aca="false">IF(OR(H38="",E38="",D38=""),"",IF(H38=E38,"push",IF(D38="Over",IF(H38&gt;E38,1,0),IF(H38&lt;E38,1,0))))</f>
        <v/>
      </c>
      <c r="J38" s="0" t="str">
        <f aca="false">IF(AND(ISNUMBER(I38),G38&lt;&gt;""),(G38-I38)^2,"")</f>
        <v/>
      </c>
    </row>
    <row r="39" customFormat="false" ht="15" hidden="false" customHeight="false" outlineLevel="0" collapsed="false">
      <c r="G39" s="13"/>
      <c r="I39" s="0" t="str">
        <f aca="false">IF(OR(H39="",E39="",D39=""),"",IF(H39=E39,"push",IF(D39="Over",IF(H39&gt;E39,1,0),IF(H39&lt;E39,1,0))))</f>
        <v/>
      </c>
      <c r="J39" s="0" t="str">
        <f aca="false">IF(AND(ISNUMBER(I39),G39&lt;&gt;""),(G39-I39)^2,"")</f>
        <v/>
      </c>
    </row>
    <row r="40" customFormat="false" ht="15" hidden="false" customHeight="false" outlineLevel="0" collapsed="false">
      <c r="G40" s="13"/>
      <c r="I40" s="0" t="str">
        <f aca="false">IF(OR(H40="",E40="",D40=""),"",IF(H40=E40,"push",IF(D40="Over",IF(H40&gt;E40,1,0),IF(H40&lt;E40,1,0))))</f>
        <v/>
      </c>
      <c r="J40" s="0" t="str">
        <f aca="false">IF(AND(ISNUMBER(I40),G40&lt;&gt;""),(G40-I40)^2,"")</f>
        <v/>
      </c>
    </row>
    <row r="41" customFormat="false" ht="15" hidden="false" customHeight="false" outlineLevel="0" collapsed="false">
      <c r="G41" s="13"/>
      <c r="I41" s="0" t="str">
        <f aca="false">IF(OR(H41="",E41="",D41=""),"",IF(H41=E41,"push",IF(D41="Over",IF(H41&gt;E41,1,0),IF(H41&lt;E41,1,0))))</f>
        <v/>
      </c>
      <c r="J41" s="0" t="str">
        <f aca="false">IF(AND(ISNUMBER(I41),G41&lt;&gt;""),(G41-I41)^2,"")</f>
        <v/>
      </c>
    </row>
    <row r="42" customFormat="false" ht="15" hidden="false" customHeight="false" outlineLevel="0" collapsed="false">
      <c r="G42" s="13"/>
      <c r="I42" s="0" t="str">
        <f aca="false">IF(OR(H42="",E42="",D42=""),"",IF(H42=E42,"push",IF(D42="Over",IF(H42&gt;E42,1,0),IF(H42&lt;E42,1,0))))</f>
        <v/>
      </c>
      <c r="J42" s="0" t="str">
        <f aca="false">IF(AND(ISNUMBER(I42),G42&lt;&gt;""),(G42-I42)^2,"")</f>
        <v/>
      </c>
    </row>
    <row r="43" customFormat="false" ht="15" hidden="false" customHeight="false" outlineLevel="0" collapsed="false">
      <c r="G43" s="13"/>
      <c r="I43" s="0" t="str">
        <f aca="false">IF(OR(H43="",E43="",D43=""),"",IF(H43=E43,"push",IF(D43="Over",IF(H43&gt;E43,1,0),IF(H43&lt;E43,1,0))))</f>
        <v/>
      </c>
      <c r="J43" s="0" t="str">
        <f aca="false">IF(AND(ISNUMBER(I43),G43&lt;&gt;""),(G43-I43)^2,"")</f>
        <v/>
      </c>
    </row>
    <row r="44" customFormat="false" ht="15" hidden="false" customHeight="false" outlineLevel="0" collapsed="false">
      <c r="G44" s="13"/>
      <c r="I44" s="0" t="str">
        <f aca="false">IF(OR(H44="",E44="",D44=""),"",IF(H44=E44,"push",IF(D44="Over",IF(H44&gt;E44,1,0),IF(H44&lt;E44,1,0))))</f>
        <v/>
      </c>
      <c r="J44" s="0" t="str">
        <f aca="false">IF(AND(ISNUMBER(I44),G44&lt;&gt;""),(G44-I44)^2,"")</f>
        <v/>
      </c>
    </row>
    <row r="45" customFormat="false" ht="15" hidden="false" customHeight="false" outlineLevel="0" collapsed="false">
      <c r="G45" s="13"/>
      <c r="I45" s="0" t="str">
        <f aca="false">IF(OR(H45="",E45="",D45=""),"",IF(H45=E45,"push",IF(D45="Over",IF(H45&gt;E45,1,0),IF(H45&lt;E45,1,0))))</f>
        <v/>
      </c>
      <c r="J45" s="0" t="str">
        <f aca="false">IF(AND(ISNUMBER(I45),G45&lt;&gt;""),(G45-I45)^2,"")</f>
        <v/>
      </c>
    </row>
    <row r="46" customFormat="false" ht="15" hidden="false" customHeight="false" outlineLevel="0" collapsed="false">
      <c r="G46" s="13"/>
      <c r="I46" s="0" t="str">
        <f aca="false">IF(OR(H46="",E46="",D46=""),"",IF(H46=E46,"push",IF(D46="Over",IF(H46&gt;E46,1,0),IF(H46&lt;E46,1,0))))</f>
        <v/>
      </c>
      <c r="J46" s="0" t="str">
        <f aca="false">IF(AND(ISNUMBER(I46),G46&lt;&gt;""),(G46-I46)^2,"")</f>
        <v/>
      </c>
    </row>
    <row r="47" customFormat="false" ht="15" hidden="false" customHeight="false" outlineLevel="0" collapsed="false">
      <c r="G47" s="13"/>
      <c r="I47" s="0" t="str">
        <f aca="false">IF(OR(H47="",E47="",D47=""),"",IF(H47=E47,"push",IF(D47="Over",IF(H47&gt;E47,1,0),IF(H47&lt;E47,1,0))))</f>
        <v/>
      </c>
      <c r="J47" s="0" t="str">
        <f aca="false">IF(AND(ISNUMBER(I47),G47&lt;&gt;""),(G47-I47)^2,"")</f>
        <v/>
      </c>
    </row>
    <row r="48" customFormat="false" ht="15" hidden="false" customHeight="false" outlineLevel="0" collapsed="false">
      <c r="G48" s="13"/>
      <c r="I48" s="0" t="str">
        <f aca="false">IF(OR(H48="",E48="",D48=""),"",IF(H48=E48,"push",IF(D48="Over",IF(H48&gt;E48,1,0),IF(H48&lt;E48,1,0))))</f>
        <v/>
      </c>
      <c r="J48" s="0" t="str">
        <f aca="false">IF(AND(ISNUMBER(I48),G48&lt;&gt;""),(G48-I48)^2,"")</f>
        <v/>
      </c>
    </row>
    <row r="49" customFormat="false" ht="15" hidden="false" customHeight="false" outlineLevel="0" collapsed="false">
      <c r="G49" s="13"/>
      <c r="I49" s="0" t="str">
        <f aca="false">IF(OR(H49="",E49="",D49=""),"",IF(H49=E49,"push",IF(D49="Over",IF(H49&gt;E49,1,0),IF(H49&lt;E49,1,0))))</f>
        <v/>
      </c>
      <c r="J49" s="0" t="str">
        <f aca="false">IF(AND(ISNUMBER(I49),G49&lt;&gt;""),(G49-I49)^2,"")</f>
        <v/>
      </c>
    </row>
    <row r="50" customFormat="false" ht="15" hidden="false" customHeight="false" outlineLevel="0" collapsed="false">
      <c r="G50" s="13"/>
      <c r="I50" s="0" t="str">
        <f aca="false">IF(OR(H50="",E50="",D50=""),"",IF(H50=E50,"push",IF(D50="Over",IF(H50&gt;E50,1,0),IF(H50&lt;E50,1,0))))</f>
        <v/>
      </c>
      <c r="J50" s="0" t="str">
        <f aca="false">IF(AND(ISNUMBER(I50),G50&lt;&gt;""),(G50-I50)^2,"")</f>
        <v/>
      </c>
    </row>
    <row r="51" customFormat="false" ht="15" hidden="false" customHeight="false" outlineLevel="0" collapsed="false">
      <c r="G51" s="13"/>
      <c r="I51" s="0" t="str">
        <f aca="false">IF(OR(H51="",E51="",D51=""),"",IF(H51=E51,"push",IF(D51="Over",IF(H51&gt;E51,1,0),IF(H51&lt;E51,1,0))))</f>
        <v/>
      </c>
      <c r="J51" s="0" t="str">
        <f aca="false">IF(AND(ISNUMBER(I51),G51&lt;&gt;""),(G51-I51)^2,"")</f>
        <v/>
      </c>
    </row>
    <row r="52" customFormat="false" ht="15" hidden="false" customHeight="false" outlineLevel="0" collapsed="false">
      <c r="G52" s="13"/>
      <c r="I52" s="0" t="str">
        <f aca="false">IF(OR(H52="",E52="",D52=""),"",IF(H52=E52,"push",IF(D52="Over",IF(H52&gt;E52,1,0),IF(H52&lt;E52,1,0))))</f>
        <v/>
      </c>
      <c r="J52" s="0" t="str">
        <f aca="false">IF(AND(ISNUMBER(I52),G52&lt;&gt;""),(G52-I52)^2,"")</f>
        <v/>
      </c>
    </row>
    <row r="53" customFormat="false" ht="15" hidden="false" customHeight="false" outlineLevel="0" collapsed="false">
      <c r="G53" s="13"/>
      <c r="I53" s="0" t="str">
        <f aca="false">IF(OR(H53="",E53="",D53=""),"",IF(H53=E53,"push",IF(D53="Over",IF(H53&gt;E53,1,0),IF(H53&lt;E53,1,0))))</f>
        <v/>
      </c>
      <c r="J53" s="0" t="str">
        <f aca="false">IF(AND(ISNUMBER(I53),G53&lt;&gt;""),(G53-I53)^2,"")</f>
        <v/>
      </c>
    </row>
    <row r="54" customFormat="false" ht="15" hidden="false" customHeight="false" outlineLevel="0" collapsed="false">
      <c r="G54" s="13"/>
      <c r="I54" s="0" t="str">
        <f aca="false">IF(OR(H54="",E54="",D54=""),"",IF(H54=E54,"push",IF(D54="Over",IF(H54&gt;E54,1,0),IF(H54&lt;E54,1,0))))</f>
        <v/>
      </c>
      <c r="J54" s="0" t="str">
        <f aca="false">IF(AND(ISNUMBER(I54),G54&lt;&gt;""),(G54-I54)^2,"")</f>
        <v/>
      </c>
    </row>
    <row r="55" customFormat="false" ht="15" hidden="false" customHeight="false" outlineLevel="0" collapsed="false">
      <c r="G55" s="13"/>
      <c r="I55" s="0" t="str">
        <f aca="false">IF(OR(H55="",E55="",D55=""),"",IF(H55=E55,"push",IF(D55="Over",IF(H55&gt;E55,1,0),IF(H55&lt;E55,1,0))))</f>
        <v/>
      </c>
      <c r="J55" s="0" t="str">
        <f aca="false">IF(AND(ISNUMBER(I55),G55&lt;&gt;""),(G55-I55)^2,"")</f>
        <v/>
      </c>
    </row>
    <row r="56" customFormat="false" ht="15" hidden="false" customHeight="false" outlineLevel="0" collapsed="false">
      <c r="G56" s="13"/>
      <c r="I56" s="0" t="str">
        <f aca="false">IF(OR(H56="",E56="",D56=""),"",IF(H56=E56,"push",IF(D56="Over",IF(H56&gt;E56,1,0),IF(H56&lt;E56,1,0))))</f>
        <v/>
      </c>
      <c r="J56" s="0" t="str">
        <f aca="false">IF(AND(ISNUMBER(I56),G56&lt;&gt;""),(G56-I56)^2,"")</f>
        <v/>
      </c>
    </row>
    <row r="57" customFormat="false" ht="15" hidden="false" customHeight="false" outlineLevel="0" collapsed="false">
      <c r="G57" s="13"/>
      <c r="I57" s="0" t="str">
        <f aca="false">IF(OR(H57="",E57="",D57=""),"",IF(H57=E57,"push",IF(D57="Over",IF(H57&gt;E57,1,0),IF(H57&lt;E57,1,0))))</f>
        <v/>
      </c>
      <c r="J57" s="0" t="str">
        <f aca="false">IF(AND(ISNUMBER(I57),G57&lt;&gt;""),(G57-I57)^2,"")</f>
        <v/>
      </c>
    </row>
    <row r="58" customFormat="false" ht="15" hidden="false" customHeight="false" outlineLevel="0" collapsed="false">
      <c r="G58" s="13"/>
      <c r="I58" s="0" t="str">
        <f aca="false">IF(OR(H58="",E58="",D58=""),"",IF(H58=E58,"push",IF(D58="Over",IF(H58&gt;E58,1,0),IF(H58&lt;E58,1,0))))</f>
        <v/>
      </c>
      <c r="J58" s="0" t="str">
        <f aca="false">IF(AND(ISNUMBER(I58),G58&lt;&gt;""),(G58-I58)^2,"")</f>
        <v/>
      </c>
    </row>
    <row r="59" customFormat="false" ht="15" hidden="false" customHeight="false" outlineLevel="0" collapsed="false">
      <c r="G59" s="13"/>
      <c r="I59" s="0" t="str">
        <f aca="false">IF(OR(H59="",E59="",D59=""),"",IF(H59=E59,"push",IF(D59="Over",IF(H59&gt;E59,1,0),IF(H59&lt;E59,1,0))))</f>
        <v/>
      </c>
      <c r="J59" s="0" t="str">
        <f aca="false">IF(AND(ISNUMBER(I59),G59&lt;&gt;""),(G59-I59)^2,"")</f>
        <v/>
      </c>
    </row>
    <row r="60" customFormat="false" ht="15" hidden="false" customHeight="false" outlineLevel="0" collapsed="false">
      <c r="G60" s="13"/>
      <c r="I60" s="0" t="str">
        <f aca="false">IF(OR(H60="",E60="",D60=""),"",IF(H60=E60,"push",IF(D60="Over",IF(H60&gt;E60,1,0),IF(H60&lt;E60,1,0))))</f>
        <v/>
      </c>
      <c r="J60" s="0" t="str">
        <f aca="false">IF(AND(ISNUMBER(I60),G60&lt;&gt;""),(G60-I60)^2,"")</f>
        <v/>
      </c>
    </row>
    <row r="61" customFormat="false" ht="15" hidden="false" customHeight="false" outlineLevel="0" collapsed="false">
      <c r="G61" s="13"/>
      <c r="I61" s="0" t="str">
        <f aca="false">IF(OR(H61="",E61="",D61=""),"",IF(H61=E61,"push",IF(D61="Over",IF(H61&gt;E61,1,0),IF(H61&lt;E61,1,0))))</f>
        <v/>
      </c>
      <c r="J61" s="0" t="str">
        <f aca="false">IF(AND(ISNUMBER(I61),G61&lt;&gt;""),(G61-I61)^2,"")</f>
        <v/>
      </c>
    </row>
    <row r="62" customFormat="false" ht="15" hidden="false" customHeight="false" outlineLevel="0" collapsed="false">
      <c r="G62" s="13"/>
      <c r="I62" s="0" t="str">
        <f aca="false">IF(OR(H62="",E62="",D62=""),"",IF(H62=E62,"push",IF(D62="Over",IF(H62&gt;E62,1,0),IF(H62&lt;E62,1,0))))</f>
        <v/>
      </c>
      <c r="J62" s="0" t="str">
        <f aca="false">IF(AND(ISNUMBER(I62),G62&lt;&gt;""),(G62-I62)^2,"")</f>
        <v/>
      </c>
    </row>
    <row r="63" customFormat="false" ht="15" hidden="false" customHeight="false" outlineLevel="0" collapsed="false">
      <c r="G63" s="13"/>
      <c r="I63" s="0" t="str">
        <f aca="false">IF(OR(H63="",E63="",D63=""),"",IF(H63=E63,"push",IF(D63="Over",IF(H63&gt;E63,1,0),IF(H63&lt;E63,1,0))))</f>
        <v/>
      </c>
      <c r="J63" s="0" t="str">
        <f aca="false">IF(AND(ISNUMBER(I63),G63&lt;&gt;""),(G63-I63)^2,"")</f>
        <v/>
      </c>
    </row>
    <row r="64" customFormat="false" ht="15" hidden="false" customHeight="false" outlineLevel="0" collapsed="false">
      <c r="G64" s="13"/>
      <c r="I64" s="0" t="str">
        <f aca="false">IF(OR(H64="",E64="",D64=""),"",IF(H64=E64,"push",IF(D64="Over",IF(H64&gt;E64,1,0),IF(H64&lt;E64,1,0))))</f>
        <v/>
      </c>
      <c r="J64" s="0" t="str">
        <f aca="false">IF(AND(ISNUMBER(I64),G64&lt;&gt;""),(G64-I64)^2,"")</f>
        <v/>
      </c>
    </row>
    <row r="65" customFormat="false" ht="15" hidden="false" customHeight="false" outlineLevel="0" collapsed="false">
      <c r="G65" s="13"/>
      <c r="I65" s="0" t="str">
        <f aca="false">IF(OR(H65="",E65="",D65=""),"",IF(H65=E65,"push",IF(D65="Over",IF(H65&gt;E65,1,0),IF(H65&lt;E65,1,0))))</f>
        <v/>
      </c>
      <c r="J65" s="0" t="str">
        <f aca="false">IF(AND(ISNUMBER(I65),G65&lt;&gt;""),(G65-I65)^2,"")</f>
        <v/>
      </c>
    </row>
    <row r="66" customFormat="false" ht="15" hidden="false" customHeight="false" outlineLevel="0" collapsed="false">
      <c r="G66" s="13"/>
      <c r="I66" s="0" t="str">
        <f aca="false">IF(OR(H66="",E66="",D66=""),"",IF(H66=E66,"push",IF(D66="Over",IF(H66&gt;E66,1,0),IF(H66&lt;E66,1,0))))</f>
        <v/>
      </c>
      <c r="J66" s="0" t="str">
        <f aca="false">IF(AND(ISNUMBER(I66),G66&lt;&gt;""),(G66-I66)^2,"")</f>
        <v/>
      </c>
    </row>
    <row r="67" customFormat="false" ht="15" hidden="false" customHeight="false" outlineLevel="0" collapsed="false">
      <c r="G67" s="13"/>
      <c r="I67" s="0" t="str">
        <f aca="false">IF(OR(H67="",E67="",D67=""),"",IF(H67=E67,"push",IF(D67="Over",IF(H67&gt;E67,1,0),IF(H67&lt;E67,1,0))))</f>
        <v/>
      </c>
      <c r="J67" s="0" t="str">
        <f aca="false">IF(AND(ISNUMBER(I67),G67&lt;&gt;""),(G67-I67)^2,"")</f>
        <v/>
      </c>
    </row>
    <row r="68" customFormat="false" ht="15" hidden="false" customHeight="false" outlineLevel="0" collapsed="false">
      <c r="G68" s="13"/>
      <c r="I68" s="0" t="str">
        <f aca="false">IF(OR(H68="",E68="",D68=""),"",IF(H68=E68,"push",IF(D68="Over",IF(H68&gt;E68,1,0),IF(H68&lt;E68,1,0))))</f>
        <v/>
      </c>
      <c r="J68" s="0" t="str">
        <f aca="false">IF(AND(ISNUMBER(I68),G68&lt;&gt;""),(G68-I68)^2,"")</f>
        <v/>
      </c>
    </row>
    <row r="69" customFormat="false" ht="15" hidden="false" customHeight="false" outlineLevel="0" collapsed="false">
      <c r="G69" s="13"/>
      <c r="I69" s="0" t="str">
        <f aca="false">IF(OR(H69="",E69="",D69=""),"",IF(H69=E69,"push",IF(D69="Over",IF(H69&gt;E69,1,0),IF(H69&lt;E69,1,0))))</f>
        <v/>
      </c>
      <c r="J69" s="0" t="str">
        <f aca="false">IF(AND(ISNUMBER(I69),G69&lt;&gt;""),(G69-I69)^2,"")</f>
        <v/>
      </c>
    </row>
    <row r="70" customFormat="false" ht="15" hidden="false" customHeight="false" outlineLevel="0" collapsed="false">
      <c r="G70" s="13"/>
      <c r="I70" s="0" t="str">
        <f aca="false">IF(OR(H70="",E70="",D70=""),"",IF(H70=E70,"push",IF(D70="Over",IF(H70&gt;E70,1,0),IF(H70&lt;E70,1,0))))</f>
        <v/>
      </c>
      <c r="J70" s="0" t="str">
        <f aca="false">IF(AND(ISNUMBER(I70),G70&lt;&gt;""),(G70-I70)^2,"")</f>
        <v/>
      </c>
    </row>
    <row r="71" customFormat="false" ht="15" hidden="false" customHeight="false" outlineLevel="0" collapsed="false">
      <c r="G71" s="13"/>
      <c r="I71" s="0" t="str">
        <f aca="false">IF(OR(H71="",E71="",D71=""),"",IF(H71=E71,"push",IF(D71="Over",IF(H71&gt;E71,1,0),IF(H71&lt;E71,1,0))))</f>
        <v/>
      </c>
      <c r="J71" s="0" t="str">
        <f aca="false">IF(AND(ISNUMBER(I71),G71&lt;&gt;""),(G71-I71)^2,"")</f>
        <v/>
      </c>
    </row>
    <row r="72" customFormat="false" ht="15" hidden="false" customHeight="false" outlineLevel="0" collapsed="false">
      <c r="G72" s="13"/>
      <c r="I72" s="0" t="str">
        <f aca="false">IF(OR(H72="",E72="",D72=""),"",IF(H72=E72,"push",IF(D72="Over",IF(H72&gt;E72,1,0),IF(H72&lt;E72,1,0))))</f>
        <v/>
      </c>
      <c r="J72" s="0" t="str">
        <f aca="false">IF(AND(ISNUMBER(I72),G72&lt;&gt;""),(G72-I72)^2,"")</f>
        <v/>
      </c>
    </row>
    <row r="73" customFormat="false" ht="15" hidden="false" customHeight="false" outlineLevel="0" collapsed="false">
      <c r="G73" s="13"/>
      <c r="I73" s="0" t="str">
        <f aca="false">IF(OR(H73="",E73="",D73=""),"",IF(H73=E73,"push",IF(D73="Over",IF(H73&gt;E73,1,0),IF(H73&lt;E73,1,0))))</f>
        <v/>
      </c>
      <c r="J73" s="0" t="str">
        <f aca="false">IF(AND(ISNUMBER(I73),G73&lt;&gt;""),(G73-I73)^2,"")</f>
        <v/>
      </c>
    </row>
    <row r="74" customFormat="false" ht="15" hidden="false" customHeight="false" outlineLevel="0" collapsed="false">
      <c r="G74" s="13"/>
      <c r="I74" s="0" t="str">
        <f aca="false">IF(OR(H74="",E74="",D74=""),"",IF(H74=E74,"push",IF(D74="Over",IF(H74&gt;E74,1,0),IF(H74&lt;E74,1,0))))</f>
        <v/>
      </c>
      <c r="J74" s="0" t="str">
        <f aca="false">IF(AND(ISNUMBER(I74),G74&lt;&gt;""),(G74-I74)^2,"")</f>
        <v/>
      </c>
    </row>
    <row r="75" customFormat="false" ht="15" hidden="false" customHeight="false" outlineLevel="0" collapsed="false">
      <c r="G75" s="13"/>
      <c r="I75" s="0" t="str">
        <f aca="false">IF(OR(H75="",E75="",D75=""),"",IF(H75=E75,"push",IF(D75="Over",IF(H75&gt;E75,1,0),IF(H75&lt;E75,1,0))))</f>
        <v/>
      </c>
      <c r="J75" s="0" t="str">
        <f aca="false">IF(AND(ISNUMBER(I75),G75&lt;&gt;""),(G75-I75)^2,"")</f>
        <v/>
      </c>
    </row>
    <row r="76" customFormat="false" ht="15" hidden="false" customHeight="false" outlineLevel="0" collapsed="false">
      <c r="G76" s="13"/>
      <c r="I76" s="0" t="str">
        <f aca="false">IF(OR(H76="",E76="",D76=""),"",IF(H76=E76,"push",IF(D76="Over",IF(H76&gt;E76,1,0),IF(H76&lt;E76,1,0))))</f>
        <v/>
      </c>
      <c r="J76" s="0" t="str">
        <f aca="false">IF(AND(ISNUMBER(I76),G76&lt;&gt;""),(G76-I76)^2,"")</f>
        <v/>
      </c>
    </row>
    <row r="77" customFormat="false" ht="15" hidden="false" customHeight="false" outlineLevel="0" collapsed="false">
      <c r="G77" s="13"/>
      <c r="I77" s="0" t="str">
        <f aca="false">IF(OR(H77="",E77="",D77=""),"",IF(H77=E77,"push",IF(D77="Over",IF(H77&gt;E77,1,0),IF(H77&lt;E77,1,0))))</f>
        <v/>
      </c>
      <c r="J77" s="0" t="str">
        <f aca="false">IF(AND(ISNUMBER(I77),G77&lt;&gt;""),(G77-I77)^2,"")</f>
        <v/>
      </c>
    </row>
    <row r="78" customFormat="false" ht="15" hidden="false" customHeight="false" outlineLevel="0" collapsed="false">
      <c r="G78" s="13"/>
      <c r="I78" s="0" t="str">
        <f aca="false">IF(OR(H78="",E78="",D78=""),"",IF(H78=E78,"push",IF(D78="Over",IF(H78&gt;E78,1,0),IF(H78&lt;E78,1,0))))</f>
        <v/>
      </c>
      <c r="J78" s="0" t="str">
        <f aca="false">IF(AND(ISNUMBER(I78),G78&lt;&gt;""),(G78-I78)^2,"")</f>
        <v/>
      </c>
    </row>
    <row r="79" customFormat="false" ht="15" hidden="false" customHeight="false" outlineLevel="0" collapsed="false">
      <c r="G79" s="13"/>
      <c r="I79" s="0" t="str">
        <f aca="false">IF(OR(H79="",E79="",D79=""),"",IF(H79=E79,"push",IF(D79="Over",IF(H79&gt;E79,1,0),IF(H79&lt;E79,1,0))))</f>
        <v/>
      </c>
      <c r="J79" s="0" t="str">
        <f aca="false">IF(AND(ISNUMBER(I79),G79&lt;&gt;""),(G79-I79)^2,"")</f>
        <v/>
      </c>
    </row>
    <row r="80" customFormat="false" ht="15" hidden="false" customHeight="false" outlineLevel="0" collapsed="false">
      <c r="G80" s="13"/>
      <c r="I80" s="0" t="str">
        <f aca="false">IF(OR(H80="",E80="",D80=""),"",IF(H80=E80,"push",IF(D80="Over",IF(H80&gt;E80,1,0),IF(H80&lt;E80,1,0))))</f>
        <v/>
      </c>
      <c r="J80" s="0" t="str">
        <f aca="false">IF(AND(ISNUMBER(I80),G80&lt;&gt;""),(G80-I80)^2,"")</f>
        <v/>
      </c>
    </row>
    <row r="81" customFormat="false" ht="15" hidden="false" customHeight="false" outlineLevel="0" collapsed="false">
      <c r="G81" s="13"/>
      <c r="I81" s="0" t="str">
        <f aca="false">IF(OR(H81="",E81="",D81=""),"",IF(H81=E81,"push",IF(D81="Over",IF(H81&gt;E81,1,0),IF(H81&lt;E81,1,0))))</f>
        <v/>
      </c>
      <c r="J81" s="0" t="str">
        <f aca="false">IF(AND(ISNUMBER(I81),G81&lt;&gt;""),(G81-I81)^2,"")</f>
        <v/>
      </c>
    </row>
    <row r="82" customFormat="false" ht="15" hidden="false" customHeight="false" outlineLevel="0" collapsed="false">
      <c r="G82" s="13"/>
      <c r="I82" s="0" t="str">
        <f aca="false">IF(OR(H82="",E82="",D82=""),"",IF(H82=E82,"push",IF(D82="Over",IF(H82&gt;E82,1,0),IF(H82&lt;E82,1,0))))</f>
        <v/>
      </c>
      <c r="J82" s="0" t="str">
        <f aca="false">IF(AND(ISNUMBER(I82),G82&lt;&gt;""),(G82-I82)^2,"")</f>
        <v/>
      </c>
    </row>
    <row r="83" customFormat="false" ht="15" hidden="false" customHeight="false" outlineLevel="0" collapsed="false">
      <c r="G83" s="13"/>
      <c r="I83" s="0" t="str">
        <f aca="false">IF(OR(H83="",E83="",D83=""),"",IF(H83=E83,"push",IF(D83="Over",IF(H83&gt;E83,1,0),IF(H83&lt;E83,1,0))))</f>
        <v/>
      </c>
      <c r="J83" s="0" t="str">
        <f aca="false">IF(AND(ISNUMBER(I83),G83&lt;&gt;""),(G83-I83)^2,"")</f>
        <v/>
      </c>
    </row>
    <row r="84" customFormat="false" ht="15" hidden="false" customHeight="false" outlineLevel="0" collapsed="false">
      <c r="G84" s="13"/>
      <c r="I84" s="0" t="str">
        <f aca="false">IF(OR(H84="",E84="",D84=""),"",IF(H84=E84,"push",IF(D84="Over",IF(H84&gt;E84,1,0),IF(H84&lt;E84,1,0))))</f>
        <v/>
      </c>
      <c r="J84" s="0" t="str">
        <f aca="false">IF(AND(ISNUMBER(I84),G84&lt;&gt;""),(G84-I84)^2,"")</f>
        <v/>
      </c>
    </row>
    <row r="85" customFormat="false" ht="15" hidden="false" customHeight="false" outlineLevel="0" collapsed="false">
      <c r="G85" s="13"/>
      <c r="I85" s="0" t="str">
        <f aca="false">IF(OR(H85="",E85="",D85=""),"",IF(H85=E85,"push",IF(D85="Over",IF(H85&gt;E85,1,0),IF(H85&lt;E85,1,0))))</f>
        <v/>
      </c>
      <c r="J85" s="0" t="str">
        <f aca="false">IF(AND(ISNUMBER(I85),G85&lt;&gt;""),(G85-I85)^2,"")</f>
        <v/>
      </c>
    </row>
    <row r="86" customFormat="false" ht="15" hidden="false" customHeight="false" outlineLevel="0" collapsed="false">
      <c r="G86" s="13"/>
      <c r="I86" s="0" t="str">
        <f aca="false">IF(OR(H86="",E86="",D86=""),"",IF(H86=E86,"push",IF(D86="Over",IF(H86&gt;E86,1,0),IF(H86&lt;E86,1,0))))</f>
        <v/>
      </c>
      <c r="J86" s="0" t="str">
        <f aca="false">IF(AND(ISNUMBER(I86),G86&lt;&gt;""),(G86-I86)^2,"")</f>
        <v/>
      </c>
    </row>
    <row r="87" customFormat="false" ht="15" hidden="false" customHeight="false" outlineLevel="0" collapsed="false">
      <c r="G87" s="13"/>
      <c r="I87" s="0" t="str">
        <f aca="false">IF(OR(H87="",E87="",D87=""),"",IF(H87=E87,"push",IF(D87="Over",IF(H87&gt;E87,1,0),IF(H87&lt;E87,1,0))))</f>
        <v/>
      </c>
      <c r="J87" s="0" t="str">
        <f aca="false">IF(AND(ISNUMBER(I87),G87&lt;&gt;""),(G87-I87)^2,"")</f>
        <v/>
      </c>
    </row>
    <row r="88" customFormat="false" ht="15" hidden="false" customHeight="false" outlineLevel="0" collapsed="false">
      <c r="G88" s="13"/>
      <c r="I88" s="0" t="str">
        <f aca="false">IF(OR(H88="",E88="",D88=""),"",IF(H88=E88,"push",IF(D88="Over",IF(H88&gt;E88,1,0),IF(H88&lt;E88,1,0))))</f>
        <v/>
      </c>
      <c r="J88" s="0" t="str">
        <f aca="false">IF(AND(ISNUMBER(I88),G88&lt;&gt;""),(G88-I88)^2,"")</f>
        <v/>
      </c>
    </row>
    <row r="89" customFormat="false" ht="15" hidden="false" customHeight="false" outlineLevel="0" collapsed="false">
      <c r="G89" s="13"/>
      <c r="I89" s="0" t="str">
        <f aca="false">IF(OR(H89="",E89="",D89=""),"",IF(H89=E89,"push",IF(D89="Over",IF(H89&gt;E89,1,0),IF(H89&lt;E89,1,0))))</f>
        <v/>
      </c>
      <c r="J89" s="0" t="str">
        <f aca="false">IF(AND(ISNUMBER(I89),G89&lt;&gt;""),(G89-I89)^2,"")</f>
        <v/>
      </c>
    </row>
    <row r="90" customFormat="false" ht="15" hidden="false" customHeight="false" outlineLevel="0" collapsed="false">
      <c r="G90" s="13"/>
      <c r="I90" s="0" t="str">
        <f aca="false">IF(OR(H90="",E90="",D90=""),"",IF(H90=E90,"push",IF(D90="Over",IF(H90&gt;E90,1,0),IF(H90&lt;E90,1,0))))</f>
        <v/>
      </c>
      <c r="J90" s="0" t="str">
        <f aca="false">IF(AND(ISNUMBER(I90),G90&lt;&gt;""),(G90-I90)^2,"")</f>
        <v/>
      </c>
    </row>
    <row r="91" customFormat="false" ht="15" hidden="false" customHeight="false" outlineLevel="0" collapsed="false">
      <c r="G91" s="13"/>
      <c r="I91" s="0" t="str">
        <f aca="false">IF(OR(H91="",E91="",D91=""),"",IF(H91=E91,"push",IF(D91="Over",IF(H91&gt;E91,1,0),IF(H91&lt;E91,1,0))))</f>
        <v/>
      </c>
      <c r="J91" s="0" t="str">
        <f aca="false">IF(AND(ISNUMBER(I91),G91&lt;&gt;""),(G91-I91)^2,"")</f>
        <v/>
      </c>
    </row>
    <row r="92" customFormat="false" ht="15" hidden="false" customHeight="false" outlineLevel="0" collapsed="false">
      <c r="G92" s="13"/>
      <c r="I92" s="0" t="str">
        <f aca="false">IF(OR(H92="",E92="",D92=""),"",IF(H92=E92,"push",IF(D92="Over",IF(H92&gt;E92,1,0),IF(H92&lt;E92,1,0))))</f>
        <v/>
      </c>
      <c r="J92" s="0" t="str">
        <f aca="false">IF(AND(ISNUMBER(I92),G92&lt;&gt;""),(G92-I92)^2,"")</f>
        <v/>
      </c>
    </row>
    <row r="93" customFormat="false" ht="15" hidden="false" customHeight="false" outlineLevel="0" collapsed="false">
      <c r="G93" s="13"/>
      <c r="I93" s="0" t="str">
        <f aca="false">IF(OR(H93="",E93="",D93=""),"",IF(H93=E93,"push",IF(D93="Over",IF(H93&gt;E93,1,0),IF(H93&lt;E93,1,0))))</f>
        <v/>
      </c>
      <c r="J93" s="0" t="str">
        <f aca="false">IF(AND(ISNUMBER(I93),G93&lt;&gt;""),(G93-I93)^2,"")</f>
        <v/>
      </c>
    </row>
    <row r="94" customFormat="false" ht="15" hidden="false" customHeight="false" outlineLevel="0" collapsed="false">
      <c r="G94" s="13"/>
      <c r="I94" s="0" t="str">
        <f aca="false">IF(OR(H94="",E94="",D94=""),"",IF(H94=E94,"push",IF(D94="Over",IF(H94&gt;E94,1,0),IF(H94&lt;E94,1,0))))</f>
        <v/>
      </c>
      <c r="J94" s="0" t="str">
        <f aca="false">IF(AND(ISNUMBER(I94),G94&lt;&gt;""),(G94-I94)^2,"")</f>
        <v/>
      </c>
    </row>
    <row r="95" customFormat="false" ht="15" hidden="false" customHeight="false" outlineLevel="0" collapsed="false">
      <c r="G95" s="13"/>
      <c r="I95" s="0" t="str">
        <f aca="false">IF(OR(H95="",E95="",D95=""),"",IF(H95=E95,"push",IF(D95="Over",IF(H95&gt;E95,1,0),IF(H95&lt;E95,1,0))))</f>
        <v/>
      </c>
      <c r="J95" s="0" t="str">
        <f aca="false">IF(AND(ISNUMBER(I95),G95&lt;&gt;""),(G95-I95)^2,"")</f>
        <v/>
      </c>
    </row>
    <row r="96" customFormat="false" ht="15" hidden="false" customHeight="false" outlineLevel="0" collapsed="false">
      <c r="G96" s="13"/>
      <c r="I96" s="0" t="str">
        <f aca="false">IF(OR(H96="",E96="",D96=""),"",IF(H96=E96,"push",IF(D96="Over",IF(H96&gt;E96,1,0),IF(H96&lt;E96,1,0))))</f>
        <v/>
      </c>
      <c r="J96" s="0" t="str">
        <f aca="false">IF(AND(ISNUMBER(I96),G96&lt;&gt;""),(G96-I96)^2,"")</f>
        <v/>
      </c>
    </row>
    <row r="97" customFormat="false" ht="15" hidden="false" customHeight="false" outlineLevel="0" collapsed="false">
      <c r="G97" s="13"/>
      <c r="I97" s="0" t="str">
        <f aca="false">IF(OR(H97="",E97="",D97=""),"",IF(H97=E97,"push",IF(D97="Over",IF(H97&gt;E97,1,0),IF(H97&lt;E97,1,0))))</f>
        <v/>
      </c>
      <c r="J97" s="0" t="str">
        <f aca="false">IF(AND(ISNUMBER(I97),G97&lt;&gt;""),(G97-I97)^2,"")</f>
        <v/>
      </c>
    </row>
    <row r="98" customFormat="false" ht="15" hidden="false" customHeight="false" outlineLevel="0" collapsed="false">
      <c r="G98" s="13"/>
      <c r="I98" s="0" t="str">
        <f aca="false">IF(OR(H98="",E98="",D98=""),"",IF(H98=E98,"push",IF(D98="Over",IF(H98&gt;E98,1,0),IF(H98&lt;E98,1,0))))</f>
        <v/>
      </c>
      <c r="J98" s="0" t="str">
        <f aca="false">IF(AND(ISNUMBER(I98),G98&lt;&gt;""),(G98-I98)^2,"")</f>
        <v/>
      </c>
    </row>
    <row r="99" customFormat="false" ht="15" hidden="false" customHeight="false" outlineLevel="0" collapsed="false">
      <c r="G99" s="13"/>
      <c r="I99" s="0" t="str">
        <f aca="false">IF(OR(H99="",E99="",D99=""),"",IF(H99=E99,"push",IF(D99="Over",IF(H99&gt;E99,1,0),IF(H99&lt;E99,1,0))))</f>
        <v/>
      </c>
      <c r="J99" s="0" t="str">
        <f aca="false">IF(AND(ISNUMBER(I99),G99&lt;&gt;""),(G99-I99)^2,"")</f>
        <v/>
      </c>
    </row>
    <row r="100" customFormat="false" ht="15" hidden="false" customHeight="false" outlineLevel="0" collapsed="false">
      <c r="G100" s="13"/>
      <c r="I100" s="0" t="str">
        <f aca="false">IF(OR(H100="",E100="",D100=""),"",IF(H100=E100,"push",IF(D100="Over",IF(H100&gt;E100,1,0),IF(H100&lt;E100,1,0))))</f>
        <v/>
      </c>
      <c r="J100" s="0" t="str">
        <f aca="false">IF(AND(ISNUMBER(I100),G100&lt;&gt;""),(G100-I100)^2,"")</f>
        <v/>
      </c>
    </row>
    <row r="101" customFormat="false" ht="15" hidden="false" customHeight="false" outlineLevel="0" collapsed="false">
      <c r="G101" s="13"/>
      <c r="I101" s="0" t="str">
        <f aca="false">IF(OR(H101="",E101="",D101=""),"",IF(H101=E101,"push",IF(D101="Over",IF(H101&gt;E101,1,0),IF(H101&lt;E101,1,0))))</f>
        <v/>
      </c>
      <c r="J101" s="0" t="str">
        <f aca="false">IF(AND(ISNUMBER(I101),G101&lt;&gt;""),(G101-I101)^2,"")</f>
        <v/>
      </c>
    </row>
    <row r="102" customFormat="false" ht="15" hidden="false" customHeight="false" outlineLevel="0" collapsed="false">
      <c r="G102" s="13"/>
      <c r="I102" s="0" t="str">
        <f aca="false">IF(OR(H102="",E102="",D102=""),"",IF(H102=E102,"push",IF(D102="Over",IF(H102&gt;E102,1,0),IF(H102&lt;E102,1,0))))</f>
        <v/>
      </c>
      <c r="J102" s="0" t="str">
        <f aca="false">IF(AND(ISNUMBER(I102),G102&lt;&gt;""),(G102-I102)^2,"")</f>
        <v/>
      </c>
    </row>
    <row r="103" customFormat="false" ht="15" hidden="false" customHeight="false" outlineLevel="0" collapsed="false">
      <c r="G103" s="13"/>
      <c r="I103" s="0" t="str">
        <f aca="false">IF(OR(H103="",E103="",D103=""),"",IF(H103=E103,"push",IF(D103="Over",IF(H103&gt;E103,1,0),IF(H103&lt;E103,1,0))))</f>
        <v/>
      </c>
      <c r="J103" s="0" t="str">
        <f aca="false">IF(AND(ISNUMBER(I103),G103&lt;&gt;""),(G103-I103)^2,"")</f>
        <v/>
      </c>
    </row>
    <row r="104" customFormat="false" ht="15" hidden="false" customHeight="false" outlineLevel="0" collapsed="false">
      <c r="G104" s="13"/>
      <c r="I104" s="0" t="str">
        <f aca="false">IF(OR(H104="",E104="",D104=""),"",IF(H104=E104,"push",IF(D104="Over",IF(H104&gt;E104,1,0),IF(H104&lt;E104,1,0))))</f>
        <v/>
      </c>
      <c r="J104" s="0" t="str">
        <f aca="false">IF(AND(ISNUMBER(I104),G104&lt;&gt;""),(G104-I104)^2,"")</f>
        <v/>
      </c>
    </row>
    <row r="105" customFormat="false" ht="15" hidden="false" customHeight="false" outlineLevel="0" collapsed="false">
      <c r="G105" s="13"/>
      <c r="I105" s="0" t="str">
        <f aca="false">IF(OR(H105="",E105="",D105=""),"",IF(H105=E105,"push",IF(D105="Over",IF(H105&gt;E105,1,0),IF(H105&lt;E105,1,0))))</f>
        <v/>
      </c>
      <c r="J105" s="0" t="str">
        <f aca="false">IF(AND(ISNUMBER(I105),G105&lt;&gt;""),(G105-I105)^2,"")</f>
        <v/>
      </c>
    </row>
    <row r="106" customFormat="false" ht="15" hidden="false" customHeight="false" outlineLevel="0" collapsed="false">
      <c r="G106" s="13"/>
      <c r="I106" s="0" t="str">
        <f aca="false">IF(OR(H106="",E106="",D106=""),"",IF(H106=E106,"push",IF(D106="Over",IF(H106&gt;E106,1,0),IF(H106&lt;E106,1,0))))</f>
        <v/>
      </c>
      <c r="J106" s="0" t="str">
        <f aca="false">IF(AND(ISNUMBER(I106),G106&lt;&gt;""),(G106-I106)^2,"")</f>
        <v/>
      </c>
    </row>
    <row r="107" customFormat="false" ht="15" hidden="false" customHeight="false" outlineLevel="0" collapsed="false">
      <c r="G107" s="13"/>
      <c r="I107" s="0" t="str">
        <f aca="false">IF(OR(H107="",E107="",D107=""),"",IF(H107=E107,"push",IF(D107="Over",IF(H107&gt;E107,1,0),IF(H107&lt;E107,1,0))))</f>
        <v/>
      </c>
      <c r="J107" s="0" t="str">
        <f aca="false">IF(AND(ISNUMBER(I107),G107&lt;&gt;""),(G107-I107)^2,"")</f>
        <v/>
      </c>
    </row>
    <row r="108" customFormat="false" ht="15" hidden="false" customHeight="false" outlineLevel="0" collapsed="false">
      <c r="G108" s="13"/>
      <c r="I108" s="0" t="str">
        <f aca="false">IF(OR(H108="",E108="",D108=""),"",IF(H108=E108,"push",IF(D108="Over",IF(H108&gt;E108,1,0),IF(H108&lt;E108,1,0))))</f>
        <v/>
      </c>
      <c r="J108" s="0" t="str">
        <f aca="false">IF(AND(ISNUMBER(I108),G108&lt;&gt;""),(G108-I108)^2,"")</f>
        <v/>
      </c>
    </row>
    <row r="109" customFormat="false" ht="15" hidden="false" customHeight="false" outlineLevel="0" collapsed="false">
      <c r="G109" s="13"/>
      <c r="I109" s="0" t="str">
        <f aca="false">IF(OR(H109="",E109="",D109=""),"",IF(H109=E109,"push",IF(D109="Over",IF(H109&gt;E109,1,0),IF(H109&lt;E109,1,0))))</f>
        <v/>
      </c>
      <c r="J109" s="0" t="str">
        <f aca="false">IF(AND(ISNUMBER(I109),G109&lt;&gt;""),(G109-I109)^2,"")</f>
        <v/>
      </c>
    </row>
    <row r="110" customFormat="false" ht="15" hidden="false" customHeight="false" outlineLevel="0" collapsed="false">
      <c r="G110" s="13"/>
      <c r="I110" s="0" t="str">
        <f aca="false">IF(OR(H110="",E110="",D110=""),"",IF(H110=E110,"push",IF(D110="Over",IF(H110&gt;E110,1,0),IF(H110&lt;E110,1,0))))</f>
        <v/>
      </c>
      <c r="J110" s="0" t="str">
        <f aca="false">IF(AND(ISNUMBER(I110),G110&lt;&gt;""),(G110-I110)^2,"")</f>
        <v/>
      </c>
    </row>
    <row r="111" customFormat="false" ht="15" hidden="false" customHeight="false" outlineLevel="0" collapsed="false">
      <c r="G111" s="13"/>
      <c r="I111" s="0" t="str">
        <f aca="false">IF(OR(H111="",E111="",D111=""),"",IF(H111=E111,"push",IF(D111="Over",IF(H111&gt;E111,1,0),IF(H111&lt;E111,1,0))))</f>
        <v/>
      </c>
      <c r="J111" s="0" t="str">
        <f aca="false">IF(AND(ISNUMBER(I111),G111&lt;&gt;""),(G111-I111)^2,"")</f>
        <v/>
      </c>
    </row>
    <row r="112" customFormat="false" ht="15" hidden="false" customHeight="false" outlineLevel="0" collapsed="false">
      <c r="G112" s="13"/>
      <c r="I112" s="0" t="str">
        <f aca="false">IF(OR(H112="",E112="",D112=""),"",IF(H112=E112,"push",IF(D112="Over",IF(H112&gt;E112,1,0),IF(H112&lt;E112,1,0))))</f>
        <v/>
      </c>
      <c r="J112" s="0" t="str">
        <f aca="false">IF(AND(ISNUMBER(I112),G112&lt;&gt;""),(G112-I112)^2,"")</f>
        <v/>
      </c>
    </row>
    <row r="113" customFormat="false" ht="15" hidden="false" customHeight="false" outlineLevel="0" collapsed="false">
      <c r="G113" s="13"/>
      <c r="I113" s="0" t="str">
        <f aca="false">IF(OR(H113="",E113="",D113=""),"",IF(H113=E113,"push",IF(D113="Over",IF(H113&gt;E113,1,0),IF(H113&lt;E113,1,0))))</f>
        <v/>
      </c>
      <c r="J113" s="0" t="str">
        <f aca="false">IF(AND(ISNUMBER(I113),G113&lt;&gt;""),(G113-I113)^2,"")</f>
        <v/>
      </c>
    </row>
    <row r="114" customFormat="false" ht="15" hidden="false" customHeight="false" outlineLevel="0" collapsed="false">
      <c r="G114" s="13"/>
      <c r="I114" s="0" t="str">
        <f aca="false">IF(OR(H114="",E114="",D114=""),"",IF(H114=E114,"push",IF(D114="Over",IF(H114&gt;E114,1,0),IF(H114&lt;E114,1,0))))</f>
        <v/>
      </c>
      <c r="J114" s="0" t="str">
        <f aca="false">IF(AND(ISNUMBER(I114),G114&lt;&gt;""),(G114-I114)^2,"")</f>
        <v/>
      </c>
    </row>
    <row r="115" customFormat="false" ht="15" hidden="false" customHeight="false" outlineLevel="0" collapsed="false">
      <c r="G115" s="13"/>
      <c r="I115" s="0" t="str">
        <f aca="false">IF(OR(H115="",E115="",D115=""),"",IF(H115=E115,"push",IF(D115="Over",IF(H115&gt;E115,1,0),IF(H115&lt;E115,1,0))))</f>
        <v/>
      </c>
      <c r="J115" s="0" t="str">
        <f aca="false">IF(AND(ISNUMBER(I115),G115&lt;&gt;""),(G115-I115)^2,"")</f>
        <v/>
      </c>
    </row>
    <row r="116" customFormat="false" ht="15" hidden="false" customHeight="false" outlineLevel="0" collapsed="false">
      <c r="G116" s="13"/>
      <c r="I116" s="0" t="str">
        <f aca="false">IF(OR(H116="",E116="",D116=""),"",IF(H116=E116,"push",IF(D116="Over",IF(H116&gt;E116,1,0),IF(H116&lt;E116,1,0))))</f>
        <v/>
      </c>
      <c r="J116" s="0" t="str">
        <f aca="false">IF(AND(ISNUMBER(I116),G116&lt;&gt;""),(G116-I116)^2,"")</f>
        <v/>
      </c>
    </row>
    <row r="117" customFormat="false" ht="15" hidden="false" customHeight="false" outlineLevel="0" collapsed="false">
      <c r="G117" s="13"/>
      <c r="I117" s="0" t="str">
        <f aca="false">IF(OR(H117="",E117="",D117=""),"",IF(H117=E117,"push",IF(D117="Over",IF(H117&gt;E117,1,0),IF(H117&lt;E117,1,0))))</f>
        <v/>
      </c>
      <c r="J117" s="0" t="str">
        <f aca="false">IF(AND(ISNUMBER(I117),G117&lt;&gt;""),(G117-I117)^2,"")</f>
        <v/>
      </c>
    </row>
    <row r="118" customFormat="false" ht="15" hidden="false" customHeight="false" outlineLevel="0" collapsed="false">
      <c r="G118" s="13"/>
      <c r="I118" s="0" t="str">
        <f aca="false">IF(OR(H118="",E118="",D118=""),"",IF(H118=E118,"push",IF(D118="Over",IF(H118&gt;E118,1,0),IF(H118&lt;E118,1,0))))</f>
        <v/>
      </c>
      <c r="J118" s="0" t="str">
        <f aca="false">IF(AND(ISNUMBER(I118),G118&lt;&gt;""),(G118-I118)^2,"")</f>
        <v/>
      </c>
    </row>
    <row r="119" customFormat="false" ht="15" hidden="false" customHeight="false" outlineLevel="0" collapsed="false">
      <c r="G119" s="13"/>
      <c r="I119" s="0" t="str">
        <f aca="false">IF(OR(H119="",E119="",D119=""),"",IF(H119=E119,"push",IF(D119="Over",IF(H119&gt;E119,1,0),IF(H119&lt;E119,1,0))))</f>
        <v/>
      </c>
      <c r="J119" s="0" t="str">
        <f aca="false">IF(AND(ISNUMBER(I119),G119&lt;&gt;""),(G119-I119)^2,"")</f>
        <v/>
      </c>
    </row>
    <row r="120" customFormat="false" ht="15" hidden="false" customHeight="false" outlineLevel="0" collapsed="false">
      <c r="G120" s="13"/>
      <c r="I120" s="0" t="str">
        <f aca="false">IF(OR(H120="",E120="",D120=""),"",IF(H120=E120,"push",IF(D120="Over",IF(H120&gt;E120,1,0),IF(H120&lt;E120,1,0))))</f>
        <v/>
      </c>
      <c r="J120" s="0" t="str">
        <f aca="false">IF(AND(ISNUMBER(I120),G120&lt;&gt;""),(G120-I120)^2,"")</f>
        <v/>
      </c>
    </row>
    <row r="121" customFormat="false" ht="15" hidden="false" customHeight="false" outlineLevel="0" collapsed="false">
      <c r="G121" s="13"/>
      <c r="I121" s="0" t="str">
        <f aca="false">IF(OR(H121="",E121="",D121=""),"",IF(H121=E121,"push",IF(D121="Over",IF(H121&gt;E121,1,0),IF(H121&lt;E121,1,0))))</f>
        <v/>
      </c>
      <c r="J121" s="0" t="str">
        <f aca="false">IF(AND(ISNUMBER(I121),G121&lt;&gt;""),(G121-I121)^2,"")</f>
        <v/>
      </c>
    </row>
    <row r="122" customFormat="false" ht="15" hidden="false" customHeight="false" outlineLevel="0" collapsed="false">
      <c r="G122" s="13"/>
      <c r="I122" s="0" t="str">
        <f aca="false">IF(OR(H122="",E122="",D122=""),"",IF(H122=E122,"push",IF(D122="Over",IF(H122&gt;E122,1,0),IF(H122&lt;E122,1,0))))</f>
        <v/>
      </c>
      <c r="J122" s="0" t="str">
        <f aca="false">IF(AND(ISNUMBER(I122),G122&lt;&gt;""),(G122-I122)^2,"")</f>
        <v/>
      </c>
    </row>
    <row r="123" customFormat="false" ht="15" hidden="false" customHeight="false" outlineLevel="0" collapsed="false">
      <c r="G123" s="13"/>
      <c r="I123" s="0" t="str">
        <f aca="false">IF(OR(H123="",E123="",D123=""),"",IF(H123=E123,"push",IF(D123="Over",IF(H123&gt;E123,1,0),IF(H123&lt;E123,1,0))))</f>
        <v/>
      </c>
      <c r="J123" s="0" t="str">
        <f aca="false">IF(AND(ISNUMBER(I123),G123&lt;&gt;""),(G123-I123)^2,"")</f>
        <v/>
      </c>
    </row>
    <row r="124" customFormat="false" ht="15" hidden="false" customHeight="false" outlineLevel="0" collapsed="false">
      <c r="G124" s="13"/>
      <c r="I124" s="0" t="str">
        <f aca="false">IF(OR(H124="",E124="",D124=""),"",IF(H124=E124,"push",IF(D124="Over",IF(H124&gt;E124,1,0),IF(H124&lt;E124,1,0))))</f>
        <v/>
      </c>
      <c r="J124" s="0" t="str">
        <f aca="false">IF(AND(ISNUMBER(I124),G124&lt;&gt;""),(G124-I124)^2,"")</f>
        <v/>
      </c>
    </row>
    <row r="125" customFormat="false" ht="15" hidden="false" customHeight="false" outlineLevel="0" collapsed="false">
      <c r="G125" s="13"/>
      <c r="I125" s="0" t="str">
        <f aca="false">IF(OR(H125="",E125="",D125=""),"",IF(H125=E125,"push",IF(D125="Over",IF(H125&gt;E125,1,0),IF(H125&lt;E125,1,0))))</f>
        <v/>
      </c>
      <c r="J125" s="0" t="str">
        <f aca="false">IF(AND(ISNUMBER(I125),G125&lt;&gt;""),(G125-I125)^2,"")</f>
        <v/>
      </c>
    </row>
    <row r="126" customFormat="false" ht="15" hidden="false" customHeight="false" outlineLevel="0" collapsed="false">
      <c r="G126" s="13"/>
      <c r="I126" s="0" t="str">
        <f aca="false">IF(OR(H126="",E126="",D126=""),"",IF(H126=E126,"push",IF(D126="Over",IF(H126&gt;E126,1,0),IF(H126&lt;E126,1,0))))</f>
        <v/>
      </c>
      <c r="J126" s="0" t="str">
        <f aca="false">IF(AND(ISNUMBER(I126),G126&lt;&gt;""),(G126-I126)^2,"")</f>
        <v/>
      </c>
    </row>
    <row r="127" customFormat="false" ht="15" hidden="false" customHeight="false" outlineLevel="0" collapsed="false">
      <c r="G127" s="13"/>
      <c r="I127" s="0" t="str">
        <f aca="false">IF(OR(H127="",E127="",D127=""),"",IF(H127=E127,"push",IF(D127="Over",IF(H127&gt;E127,1,0),IF(H127&lt;E127,1,0))))</f>
        <v/>
      </c>
      <c r="J127" s="0" t="str">
        <f aca="false">IF(AND(ISNUMBER(I127),G127&lt;&gt;""),(G127-I127)^2,"")</f>
        <v/>
      </c>
    </row>
    <row r="128" customFormat="false" ht="15" hidden="false" customHeight="false" outlineLevel="0" collapsed="false">
      <c r="G128" s="13"/>
      <c r="I128" s="0" t="str">
        <f aca="false">IF(OR(H128="",E128="",D128=""),"",IF(H128=E128,"push",IF(D128="Over",IF(H128&gt;E128,1,0),IF(H128&lt;E128,1,0))))</f>
        <v/>
      </c>
      <c r="J128" s="0" t="str">
        <f aca="false">IF(AND(ISNUMBER(I128),G128&lt;&gt;""),(G128-I128)^2,"")</f>
        <v/>
      </c>
    </row>
    <row r="129" customFormat="false" ht="15" hidden="false" customHeight="false" outlineLevel="0" collapsed="false">
      <c r="G129" s="13"/>
      <c r="I129" s="0" t="str">
        <f aca="false">IF(OR(H129="",E129="",D129=""),"",IF(H129=E129,"push",IF(D129="Over",IF(H129&gt;E129,1,0),IF(H129&lt;E129,1,0))))</f>
        <v/>
      </c>
      <c r="J129" s="0" t="str">
        <f aca="false">IF(AND(ISNUMBER(I129),G129&lt;&gt;""),(G129-I129)^2,"")</f>
        <v/>
      </c>
    </row>
    <row r="130" customFormat="false" ht="15" hidden="false" customHeight="false" outlineLevel="0" collapsed="false">
      <c r="G130" s="13"/>
      <c r="I130" s="0" t="str">
        <f aca="false">IF(OR(H130="",E130="",D130=""),"",IF(H130=E130,"push",IF(D130="Over",IF(H130&gt;E130,1,0),IF(H130&lt;E130,1,0))))</f>
        <v/>
      </c>
      <c r="J130" s="0" t="str">
        <f aca="false">IF(AND(ISNUMBER(I130),G130&lt;&gt;""),(G130-I130)^2,"")</f>
        <v/>
      </c>
    </row>
    <row r="131" customFormat="false" ht="15" hidden="false" customHeight="false" outlineLevel="0" collapsed="false">
      <c r="G131" s="13"/>
      <c r="I131" s="0" t="str">
        <f aca="false">IF(OR(H131="",E131="",D131=""),"",IF(H131=E131,"push",IF(D131="Over",IF(H131&gt;E131,1,0),IF(H131&lt;E131,1,0))))</f>
        <v/>
      </c>
      <c r="J131" s="0" t="str">
        <f aca="false">IF(AND(ISNUMBER(I131),G131&lt;&gt;""),(G131-I131)^2,"")</f>
        <v/>
      </c>
    </row>
    <row r="132" customFormat="false" ht="15" hidden="false" customHeight="false" outlineLevel="0" collapsed="false">
      <c r="G132" s="13"/>
      <c r="I132" s="0" t="str">
        <f aca="false">IF(OR(H132="",E132="",D132=""),"",IF(H132=E132,"push",IF(D132="Over",IF(H132&gt;E132,1,0),IF(H132&lt;E132,1,0))))</f>
        <v/>
      </c>
      <c r="J132" s="0" t="str">
        <f aca="false">IF(AND(ISNUMBER(I132),G132&lt;&gt;""),(G132-I132)^2,"")</f>
        <v/>
      </c>
    </row>
    <row r="133" customFormat="false" ht="15" hidden="false" customHeight="false" outlineLevel="0" collapsed="false">
      <c r="G133" s="13"/>
      <c r="I133" s="0" t="str">
        <f aca="false">IF(OR(H133="",E133="",D133=""),"",IF(H133=E133,"push",IF(D133="Over",IF(H133&gt;E133,1,0),IF(H133&lt;E133,1,0))))</f>
        <v/>
      </c>
      <c r="J133" s="0" t="str">
        <f aca="false">IF(AND(ISNUMBER(I133),G133&lt;&gt;""),(G133-I133)^2,"")</f>
        <v/>
      </c>
    </row>
    <row r="134" customFormat="false" ht="15" hidden="false" customHeight="false" outlineLevel="0" collapsed="false">
      <c r="G134" s="13"/>
      <c r="I134" s="0" t="str">
        <f aca="false">IF(OR(H134="",E134="",D134=""),"",IF(H134=E134,"push",IF(D134="Over",IF(H134&gt;E134,1,0),IF(H134&lt;E134,1,0))))</f>
        <v/>
      </c>
      <c r="J134" s="0" t="str">
        <f aca="false">IF(AND(ISNUMBER(I134),G134&lt;&gt;""),(G134-I134)^2,"")</f>
        <v/>
      </c>
    </row>
    <row r="135" customFormat="false" ht="15" hidden="false" customHeight="false" outlineLevel="0" collapsed="false">
      <c r="G135" s="13"/>
      <c r="I135" s="0" t="str">
        <f aca="false">IF(OR(H135="",E135="",D135=""),"",IF(H135=E135,"push",IF(D135="Over",IF(H135&gt;E135,1,0),IF(H135&lt;E135,1,0))))</f>
        <v/>
      </c>
      <c r="J135" s="0" t="str">
        <f aca="false">IF(AND(ISNUMBER(I135),G135&lt;&gt;""),(G135-I135)^2,"")</f>
        <v/>
      </c>
    </row>
    <row r="136" customFormat="false" ht="15" hidden="false" customHeight="false" outlineLevel="0" collapsed="false">
      <c r="G136" s="13"/>
      <c r="I136" s="0" t="str">
        <f aca="false">IF(OR(H136="",E136="",D136=""),"",IF(H136=E136,"push",IF(D136="Over",IF(H136&gt;E136,1,0),IF(H136&lt;E136,1,0))))</f>
        <v/>
      </c>
      <c r="J136" s="0" t="str">
        <f aca="false">IF(AND(ISNUMBER(I136),G136&lt;&gt;""),(G136-I136)^2,"")</f>
        <v/>
      </c>
    </row>
    <row r="137" customFormat="false" ht="15" hidden="false" customHeight="false" outlineLevel="0" collapsed="false">
      <c r="G137" s="13"/>
      <c r="I137" s="0" t="str">
        <f aca="false">IF(OR(H137="",E137="",D137=""),"",IF(H137=E137,"push",IF(D137="Over",IF(H137&gt;E137,1,0),IF(H137&lt;E137,1,0))))</f>
        <v/>
      </c>
      <c r="J137" s="0" t="str">
        <f aca="false">IF(AND(ISNUMBER(I137),G137&lt;&gt;""),(G137-I137)^2,"")</f>
        <v/>
      </c>
    </row>
    <row r="138" customFormat="false" ht="15" hidden="false" customHeight="false" outlineLevel="0" collapsed="false">
      <c r="G138" s="13"/>
      <c r="I138" s="0" t="str">
        <f aca="false">IF(OR(H138="",E138="",D138=""),"",IF(H138=E138,"push",IF(D138="Over",IF(H138&gt;E138,1,0),IF(H138&lt;E138,1,0))))</f>
        <v/>
      </c>
      <c r="J138" s="0" t="str">
        <f aca="false">IF(AND(ISNUMBER(I138),G138&lt;&gt;""),(G138-I138)^2,"")</f>
        <v/>
      </c>
    </row>
    <row r="139" customFormat="false" ht="15" hidden="false" customHeight="false" outlineLevel="0" collapsed="false">
      <c r="G139" s="13"/>
      <c r="I139" s="0" t="str">
        <f aca="false">IF(OR(H139="",E139="",D139=""),"",IF(H139=E139,"push",IF(D139="Over",IF(H139&gt;E139,1,0),IF(H139&lt;E139,1,0))))</f>
        <v/>
      </c>
      <c r="J139" s="0" t="str">
        <f aca="false">IF(AND(ISNUMBER(I139),G139&lt;&gt;""),(G139-I139)^2,"")</f>
        <v/>
      </c>
    </row>
    <row r="140" customFormat="false" ht="15" hidden="false" customHeight="false" outlineLevel="0" collapsed="false">
      <c r="G140" s="13"/>
      <c r="I140" s="0" t="str">
        <f aca="false">IF(OR(H140="",E140="",D140=""),"",IF(H140=E140,"push",IF(D140="Over",IF(H140&gt;E140,1,0),IF(H140&lt;E140,1,0))))</f>
        <v/>
      </c>
      <c r="J140" s="0" t="str">
        <f aca="false">IF(AND(ISNUMBER(I140),G140&lt;&gt;""),(G140-I140)^2,"")</f>
        <v/>
      </c>
    </row>
    <row r="141" customFormat="false" ht="15" hidden="false" customHeight="false" outlineLevel="0" collapsed="false">
      <c r="G141" s="13"/>
      <c r="I141" s="0" t="str">
        <f aca="false">IF(OR(H141="",E141="",D141=""),"",IF(H141=E141,"push",IF(D141="Over",IF(H141&gt;E141,1,0),IF(H141&lt;E141,1,0))))</f>
        <v/>
      </c>
      <c r="J141" s="0" t="str">
        <f aca="false">IF(AND(ISNUMBER(I141),G141&lt;&gt;""),(G141-I141)^2,"")</f>
        <v/>
      </c>
    </row>
    <row r="142" customFormat="false" ht="15" hidden="false" customHeight="false" outlineLevel="0" collapsed="false">
      <c r="G142" s="13"/>
      <c r="I142" s="0" t="str">
        <f aca="false">IF(OR(H142="",E142="",D142=""),"",IF(H142=E142,"push",IF(D142="Over",IF(H142&gt;E142,1,0),IF(H142&lt;E142,1,0))))</f>
        <v/>
      </c>
      <c r="J142" s="0" t="str">
        <f aca="false">IF(AND(ISNUMBER(I142),G142&lt;&gt;""),(G142-I142)^2,"")</f>
        <v/>
      </c>
    </row>
    <row r="143" customFormat="false" ht="15" hidden="false" customHeight="false" outlineLevel="0" collapsed="false">
      <c r="G143" s="13"/>
      <c r="I143" s="0" t="str">
        <f aca="false">IF(OR(H143="",E143="",D143=""),"",IF(H143=E143,"push",IF(D143="Over",IF(H143&gt;E143,1,0),IF(H143&lt;E143,1,0))))</f>
        <v/>
      </c>
      <c r="J143" s="0" t="str">
        <f aca="false">IF(AND(ISNUMBER(I143),G143&lt;&gt;""),(G143-I143)^2,"")</f>
        <v/>
      </c>
    </row>
    <row r="144" customFormat="false" ht="15" hidden="false" customHeight="false" outlineLevel="0" collapsed="false">
      <c r="G144" s="13"/>
      <c r="I144" s="0" t="str">
        <f aca="false">IF(OR(H144="",E144="",D144=""),"",IF(H144=E144,"push",IF(D144="Over",IF(H144&gt;E144,1,0),IF(H144&lt;E144,1,0))))</f>
        <v/>
      </c>
      <c r="J144" s="0" t="str">
        <f aca="false">IF(AND(ISNUMBER(I144),G144&lt;&gt;""),(G144-I144)^2,"")</f>
        <v/>
      </c>
    </row>
    <row r="145" customFormat="false" ht="15" hidden="false" customHeight="false" outlineLevel="0" collapsed="false">
      <c r="G145" s="13"/>
      <c r="I145" s="0" t="str">
        <f aca="false">IF(OR(H145="",E145="",D145=""),"",IF(H145=E145,"push",IF(D145="Over",IF(H145&gt;E145,1,0),IF(H145&lt;E145,1,0))))</f>
        <v/>
      </c>
      <c r="J145" s="0" t="str">
        <f aca="false">IF(AND(ISNUMBER(I145),G145&lt;&gt;""),(G145-I145)^2,"")</f>
        <v/>
      </c>
    </row>
    <row r="146" customFormat="false" ht="15" hidden="false" customHeight="false" outlineLevel="0" collapsed="false">
      <c r="G146" s="13"/>
      <c r="I146" s="0" t="str">
        <f aca="false">IF(OR(H146="",E146="",D146=""),"",IF(H146=E146,"push",IF(D146="Over",IF(H146&gt;E146,1,0),IF(H146&lt;E146,1,0))))</f>
        <v/>
      </c>
      <c r="J146" s="0" t="str">
        <f aca="false">IF(AND(ISNUMBER(I146),G146&lt;&gt;""),(G146-I146)^2,"")</f>
        <v/>
      </c>
    </row>
    <row r="147" customFormat="false" ht="15" hidden="false" customHeight="false" outlineLevel="0" collapsed="false">
      <c r="G147" s="13"/>
      <c r="I147" s="0" t="str">
        <f aca="false">IF(OR(H147="",E147="",D147=""),"",IF(H147=E147,"push",IF(D147="Over",IF(H147&gt;E147,1,0),IF(H147&lt;E147,1,0))))</f>
        <v/>
      </c>
      <c r="J147" s="0" t="str">
        <f aca="false">IF(AND(ISNUMBER(I147),G147&lt;&gt;""),(G147-I147)^2,"")</f>
        <v/>
      </c>
    </row>
    <row r="148" customFormat="false" ht="15" hidden="false" customHeight="false" outlineLevel="0" collapsed="false">
      <c r="G148" s="13"/>
      <c r="I148" s="0" t="str">
        <f aca="false">IF(OR(H148="",E148="",D148=""),"",IF(H148=E148,"push",IF(D148="Over",IF(H148&gt;E148,1,0),IF(H148&lt;E148,1,0))))</f>
        <v/>
      </c>
      <c r="J148" s="0" t="str">
        <f aca="false">IF(AND(ISNUMBER(I148),G148&lt;&gt;""),(G148-I148)^2,"")</f>
        <v/>
      </c>
    </row>
    <row r="149" customFormat="false" ht="15" hidden="false" customHeight="false" outlineLevel="0" collapsed="false">
      <c r="G149" s="13"/>
      <c r="I149" s="0" t="str">
        <f aca="false">IF(OR(H149="",E149="",D149=""),"",IF(H149=E149,"push",IF(D149="Over",IF(H149&gt;E149,1,0),IF(H149&lt;E149,1,0))))</f>
        <v/>
      </c>
      <c r="J149" s="0" t="str">
        <f aca="false">IF(AND(ISNUMBER(I149),G149&lt;&gt;""),(G149-I149)^2,"")</f>
        <v/>
      </c>
    </row>
    <row r="150" customFormat="false" ht="15" hidden="false" customHeight="false" outlineLevel="0" collapsed="false">
      <c r="G150" s="13"/>
      <c r="I150" s="0" t="str">
        <f aca="false">IF(OR(H150="",E150="",D150=""),"",IF(H150=E150,"push",IF(D150="Over",IF(H150&gt;E150,1,0),IF(H150&lt;E150,1,0))))</f>
        <v/>
      </c>
      <c r="J150" s="0" t="str">
        <f aca="false">IF(AND(ISNUMBER(I150),G150&lt;&gt;""),(G150-I150)^2,"")</f>
        <v/>
      </c>
    </row>
    <row r="151" customFormat="false" ht="15" hidden="false" customHeight="false" outlineLevel="0" collapsed="false">
      <c r="G151" s="13"/>
      <c r="I151" s="0" t="str">
        <f aca="false">IF(OR(H151="",E151="",D151=""),"",IF(H151=E151,"push",IF(D151="Over",IF(H151&gt;E151,1,0),IF(H151&lt;E151,1,0))))</f>
        <v/>
      </c>
      <c r="J151" s="0" t="str">
        <f aca="false">IF(AND(ISNUMBER(I151),G151&lt;&gt;""),(G151-I151)^2,"")</f>
        <v/>
      </c>
    </row>
    <row r="152" customFormat="false" ht="15" hidden="false" customHeight="false" outlineLevel="0" collapsed="false">
      <c r="G152" s="13"/>
      <c r="I152" s="0" t="str">
        <f aca="false">IF(OR(H152="",E152="",D152=""),"",IF(H152=E152,"push",IF(D152="Over",IF(H152&gt;E152,1,0),IF(H152&lt;E152,1,0))))</f>
        <v/>
      </c>
      <c r="J152" s="0" t="str">
        <f aca="false">IF(AND(ISNUMBER(I152),G152&lt;&gt;""),(G152-I152)^2,"")</f>
        <v/>
      </c>
    </row>
    <row r="153" customFormat="false" ht="15" hidden="false" customHeight="false" outlineLevel="0" collapsed="false">
      <c r="G153" s="13"/>
      <c r="I153" s="0" t="str">
        <f aca="false">IF(OR(H153="",E153="",D153=""),"",IF(H153=E153,"push",IF(D153="Over",IF(H153&gt;E153,1,0),IF(H153&lt;E153,1,0))))</f>
        <v/>
      </c>
      <c r="J153" s="0" t="str">
        <f aca="false">IF(AND(ISNUMBER(I153),G153&lt;&gt;""),(G153-I153)^2,"")</f>
        <v/>
      </c>
    </row>
    <row r="154" customFormat="false" ht="15" hidden="false" customHeight="false" outlineLevel="0" collapsed="false">
      <c r="G154" s="13"/>
      <c r="I154" s="0" t="str">
        <f aca="false">IF(OR(H154="",E154="",D154=""),"",IF(H154=E154,"push",IF(D154="Over",IF(H154&gt;E154,1,0),IF(H154&lt;E154,1,0))))</f>
        <v/>
      </c>
      <c r="J154" s="0" t="str">
        <f aca="false">IF(AND(ISNUMBER(I154),G154&lt;&gt;""),(G154-I154)^2,"")</f>
        <v/>
      </c>
    </row>
    <row r="155" customFormat="false" ht="15" hidden="false" customHeight="false" outlineLevel="0" collapsed="false">
      <c r="G155" s="13"/>
      <c r="I155" s="0" t="str">
        <f aca="false">IF(OR(H155="",E155="",D155=""),"",IF(H155=E155,"push",IF(D155="Over",IF(H155&gt;E155,1,0),IF(H155&lt;E155,1,0))))</f>
        <v/>
      </c>
      <c r="J155" s="0" t="str">
        <f aca="false">IF(AND(ISNUMBER(I155),G155&lt;&gt;""),(G155-I155)^2,"")</f>
        <v/>
      </c>
    </row>
    <row r="156" customFormat="false" ht="15" hidden="false" customHeight="false" outlineLevel="0" collapsed="false">
      <c r="G156" s="13"/>
      <c r="I156" s="0" t="str">
        <f aca="false">IF(OR(H156="",E156="",D156=""),"",IF(H156=E156,"push",IF(D156="Over",IF(H156&gt;E156,1,0),IF(H156&lt;E156,1,0))))</f>
        <v/>
      </c>
      <c r="J156" s="0" t="str">
        <f aca="false">IF(AND(ISNUMBER(I156),G156&lt;&gt;""),(G156-I156)^2,"")</f>
        <v/>
      </c>
    </row>
    <row r="157" customFormat="false" ht="15" hidden="false" customHeight="false" outlineLevel="0" collapsed="false">
      <c r="G157" s="13"/>
      <c r="I157" s="0" t="str">
        <f aca="false">IF(OR(H157="",E157="",D157=""),"",IF(H157=E157,"push",IF(D157="Over",IF(H157&gt;E157,1,0),IF(H157&lt;E157,1,0))))</f>
        <v/>
      </c>
      <c r="J157" s="0" t="str">
        <f aca="false">IF(AND(ISNUMBER(I157),G157&lt;&gt;""),(G157-I157)^2,"")</f>
        <v/>
      </c>
    </row>
    <row r="158" customFormat="false" ht="15" hidden="false" customHeight="false" outlineLevel="0" collapsed="false">
      <c r="G158" s="13"/>
      <c r="I158" s="0" t="str">
        <f aca="false">IF(OR(H158="",E158="",D158=""),"",IF(H158=E158,"push",IF(D158="Over",IF(H158&gt;E158,1,0),IF(H158&lt;E158,1,0))))</f>
        <v/>
      </c>
      <c r="J158" s="0" t="str">
        <f aca="false">IF(AND(ISNUMBER(I158),G158&lt;&gt;""),(G158-I158)^2,"")</f>
        <v/>
      </c>
    </row>
    <row r="159" customFormat="false" ht="15" hidden="false" customHeight="false" outlineLevel="0" collapsed="false">
      <c r="G159" s="13"/>
      <c r="I159" s="0" t="str">
        <f aca="false">IF(OR(H159="",E159="",D159=""),"",IF(H159=E159,"push",IF(D159="Over",IF(H159&gt;E159,1,0),IF(H159&lt;E159,1,0))))</f>
        <v/>
      </c>
      <c r="J159" s="0" t="str">
        <f aca="false">IF(AND(ISNUMBER(I159),G159&lt;&gt;""),(G159-I159)^2,"")</f>
        <v/>
      </c>
    </row>
    <row r="160" customFormat="false" ht="15" hidden="false" customHeight="false" outlineLevel="0" collapsed="false">
      <c r="G160" s="13"/>
      <c r="I160" s="0" t="str">
        <f aca="false">IF(OR(H160="",E160="",D160=""),"",IF(H160=E160,"push",IF(D160="Over",IF(H160&gt;E160,1,0),IF(H160&lt;E160,1,0))))</f>
        <v/>
      </c>
      <c r="J160" s="0" t="str">
        <f aca="false">IF(AND(ISNUMBER(I160),G160&lt;&gt;""),(G160-I160)^2,"")</f>
        <v/>
      </c>
    </row>
    <row r="161" customFormat="false" ht="15" hidden="false" customHeight="false" outlineLevel="0" collapsed="false">
      <c r="G161" s="13"/>
      <c r="I161" s="0" t="str">
        <f aca="false">IF(OR(H161="",E161="",D161=""),"",IF(H161=E161,"push",IF(D161="Over",IF(H161&gt;E161,1,0),IF(H161&lt;E161,1,0))))</f>
        <v/>
      </c>
      <c r="J161" s="0" t="str">
        <f aca="false">IF(AND(ISNUMBER(I161),G161&lt;&gt;""),(G161-I161)^2,"")</f>
        <v/>
      </c>
    </row>
    <row r="162" customFormat="false" ht="15" hidden="false" customHeight="false" outlineLevel="0" collapsed="false">
      <c r="G162" s="13"/>
      <c r="I162" s="0" t="str">
        <f aca="false">IF(OR(H162="",E162="",D162=""),"",IF(H162=E162,"push",IF(D162="Over",IF(H162&gt;E162,1,0),IF(H162&lt;E162,1,0))))</f>
        <v/>
      </c>
      <c r="J162" s="0" t="str">
        <f aca="false">IF(AND(ISNUMBER(I162),G162&lt;&gt;""),(G162-I162)^2,"")</f>
        <v/>
      </c>
    </row>
    <row r="163" customFormat="false" ht="15" hidden="false" customHeight="false" outlineLevel="0" collapsed="false">
      <c r="G163" s="13"/>
      <c r="I163" s="0" t="str">
        <f aca="false">IF(OR(H163="",E163="",D163=""),"",IF(H163=E163,"push",IF(D163="Over",IF(H163&gt;E163,1,0),IF(H163&lt;E163,1,0))))</f>
        <v/>
      </c>
      <c r="J163" s="0" t="str">
        <f aca="false">IF(AND(ISNUMBER(I163),G163&lt;&gt;""),(G163-I163)^2,"")</f>
        <v/>
      </c>
    </row>
    <row r="164" customFormat="false" ht="15" hidden="false" customHeight="false" outlineLevel="0" collapsed="false">
      <c r="G164" s="13"/>
      <c r="I164" s="0" t="str">
        <f aca="false">IF(OR(H164="",E164="",D164=""),"",IF(H164=E164,"push",IF(D164="Over",IF(H164&gt;E164,1,0),IF(H164&lt;E164,1,0))))</f>
        <v/>
      </c>
      <c r="J164" s="0" t="str">
        <f aca="false">IF(AND(ISNUMBER(I164),G164&lt;&gt;""),(G164-I164)^2,"")</f>
        <v/>
      </c>
    </row>
    <row r="165" customFormat="false" ht="15" hidden="false" customHeight="false" outlineLevel="0" collapsed="false">
      <c r="G165" s="13"/>
      <c r="I165" s="0" t="str">
        <f aca="false">IF(OR(H165="",E165="",D165=""),"",IF(H165=E165,"push",IF(D165="Over",IF(H165&gt;E165,1,0),IF(H165&lt;E165,1,0))))</f>
        <v/>
      </c>
      <c r="J165" s="0" t="str">
        <f aca="false">IF(AND(ISNUMBER(I165),G165&lt;&gt;""),(G165-I165)^2,"")</f>
        <v/>
      </c>
    </row>
    <row r="166" customFormat="false" ht="15" hidden="false" customHeight="false" outlineLevel="0" collapsed="false">
      <c r="G166" s="13"/>
      <c r="I166" s="0" t="str">
        <f aca="false">IF(OR(H166="",E166="",D166=""),"",IF(H166=E166,"push",IF(D166="Over",IF(H166&gt;E166,1,0),IF(H166&lt;E166,1,0))))</f>
        <v/>
      </c>
      <c r="J166" s="0" t="str">
        <f aca="false">IF(AND(ISNUMBER(I166),G166&lt;&gt;""),(G166-I166)^2,"")</f>
        <v/>
      </c>
    </row>
    <row r="167" customFormat="false" ht="15" hidden="false" customHeight="false" outlineLevel="0" collapsed="false">
      <c r="G167" s="13"/>
      <c r="I167" s="0" t="str">
        <f aca="false">IF(OR(H167="",E167="",D167=""),"",IF(H167=E167,"push",IF(D167="Over",IF(H167&gt;E167,1,0),IF(H167&lt;E167,1,0))))</f>
        <v/>
      </c>
      <c r="J167" s="0" t="str">
        <f aca="false">IF(AND(ISNUMBER(I167),G167&lt;&gt;""),(G167-I167)^2,"")</f>
        <v/>
      </c>
    </row>
    <row r="168" customFormat="false" ht="15" hidden="false" customHeight="false" outlineLevel="0" collapsed="false">
      <c r="G168" s="13"/>
      <c r="I168" s="0" t="str">
        <f aca="false">IF(OR(H168="",E168="",D168=""),"",IF(H168=E168,"push",IF(D168="Over",IF(H168&gt;E168,1,0),IF(H168&lt;E168,1,0))))</f>
        <v/>
      </c>
      <c r="J168" s="0" t="str">
        <f aca="false">IF(AND(ISNUMBER(I168),G168&lt;&gt;""),(G168-I168)^2,"")</f>
        <v/>
      </c>
    </row>
    <row r="169" customFormat="false" ht="15" hidden="false" customHeight="false" outlineLevel="0" collapsed="false">
      <c r="G169" s="13"/>
      <c r="I169" s="0" t="str">
        <f aca="false">IF(OR(H169="",E169="",D169=""),"",IF(H169=E169,"push",IF(D169="Over",IF(H169&gt;E169,1,0),IF(H169&lt;E169,1,0))))</f>
        <v/>
      </c>
      <c r="J169" s="0" t="str">
        <f aca="false">IF(AND(ISNUMBER(I169),G169&lt;&gt;""),(G169-I169)^2,"")</f>
        <v/>
      </c>
    </row>
    <row r="170" customFormat="false" ht="15" hidden="false" customHeight="false" outlineLevel="0" collapsed="false">
      <c r="G170" s="13"/>
      <c r="I170" s="0" t="str">
        <f aca="false">IF(OR(H170="",E170="",D170=""),"",IF(H170=E170,"push",IF(D170="Over",IF(H170&gt;E170,1,0),IF(H170&lt;E170,1,0))))</f>
        <v/>
      </c>
      <c r="J170" s="0" t="str">
        <f aca="false">IF(AND(ISNUMBER(I170),G170&lt;&gt;""),(G170-I170)^2,"")</f>
        <v/>
      </c>
    </row>
    <row r="171" customFormat="false" ht="15" hidden="false" customHeight="false" outlineLevel="0" collapsed="false">
      <c r="G171" s="13"/>
      <c r="I171" s="0" t="str">
        <f aca="false">IF(OR(H171="",E171="",D171=""),"",IF(H171=E171,"push",IF(D171="Over",IF(H171&gt;E171,1,0),IF(H171&lt;E171,1,0))))</f>
        <v/>
      </c>
      <c r="J171" s="0" t="str">
        <f aca="false">IF(AND(ISNUMBER(I171),G171&lt;&gt;""),(G171-I171)^2,"")</f>
        <v/>
      </c>
    </row>
    <row r="172" customFormat="false" ht="15" hidden="false" customHeight="false" outlineLevel="0" collapsed="false">
      <c r="G172" s="13"/>
      <c r="I172" s="0" t="str">
        <f aca="false">IF(OR(H172="",E172="",D172=""),"",IF(H172=E172,"push",IF(D172="Over",IF(H172&gt;E172,1,0),IF(H172&lt;E172,1,0))))</f>
        <v/>
      </c>
      <c r="J172" s="0" t="str">
        <f aca="false">IF(AND(ISNUMBER(I172),G172&lt;&gt;""),(G172-I172)^2,"")</f>
        <v/>
      </c>
    </row>
    <row r="173" customFormat="false" ht="15" hidden="false" customHeight="false" outlineLevel="0" collapsed="false">
      <c r="G173" s="13"/>
      <c r="I173" s="0" t="str">
        <f aca="false">IF(OR(H173="",E173="",D173=""),"",IF(H173=E173,"push",IF(D173="Over",IF(H173&gt;E173,1,0),IF(H173&lt;E173,1,0))))</f>
        <v/>
      </c>
      <c r="J173" s="0" t="str">
        <f aca="false">IF(AND(ISNUMBER(I173),G173&lt;&gt;""),(G173-I173)^2,"")</f>
        <v/>
      </c>
    </row>
    <row r="174" customFormat="false" ht="15" hidden="false" customHeight="false" outlineLevel="0" collapsed="false">
      <c r="G174" s="13"/>
      <c r="I174" s="0" t="str">
        <f aca="false">IF(OR(H174="",E174="",D174=""),"",IF(H174=E174,"push",IF(D174="Over",IF(H174&gt;E174,1,0),IF(H174&lt;E174,1,0))))</f>
        <v/>
      </c>
      <c r="J174" s="0" t="str">
        <f aca="false">IF(AND(ISNUMBER(I174),G174&lt;&gt;""),(G174-I174)^2,"")</f>
        <v/>
      </c>
    </row>
    <row r="175" customFormat="false" ht="15" hidden="false" customHeight="false" outlineLevel="0" collapsed="false">
      <c r="G175" s="13"/>
      <c r="I175" s="0" t="str">
        <f aca="false">IF(OR(H175="",E175="",D175=""),"",IF(H175=E175,"push",IF(D175="Over",IF(H175&gt;E175,1,0),IF(H175&lt;E175,1,0))))</f>
        <v/>
      </c>
      <c r="J175" s="0" t="str">
        <f aca="false">IF(AND(ISNUMBER(I175),G175&lt;&gt;""),(G175-I175)^2,"")</f>
        <v/>
      </c>
    </row>
    <row r="176" customFormat="false" ht="15" hidden="false" customHeight="false" outlineLevel="0" collapsed="false">
      <c r="G176" s="13"/>
      <c r="I176" s="0" t="str">
        <f aca="false">IF(OR(H176="",E176="",D176=""),"",IF(H176=E176,"push",IF(D176="Over",IF(H176&gt;E176,1,0),IF(H176&lt;E176,1,0))))</f>
        <v/>
      </c>
      <c r="J176" s="0" t="str">
        <f aca="false">IF(AND(ISNUMBER(I176),G176&lt;&gt;""),(G176-I176)^2,"")</f>
        <v/>
      </c>
    </row>
    <row r="177" customFormat="false" ht="15" hidden="false" customHeight="false" outlineLevel="0" collapsed="false">
      <c r="G177" s="13"/>
      <c r="I177" s="0" t="str">
        <f aca="false">IF(OR(H177="",E177="",D177=""),"",IF(H177=E177,"push",IF(D177="Over",IF(H177&gt;E177,1,0),IF(H177&lt;E177,1,0))))</f>
        <v/>
      </c>
      <c r="J177" s="0" t="str">
        <f aca="false">IF(AND(ISNUMBER(I177),G177&lt;&gt;""),(G177-I177)^2,"")</f>
        <v/>
      </c>
    </row>
    <row r="178" customFormat="false" ht="15" hidden="false" customHeight="false" outlineLevel="0" collapsed="false">
      <c r="G178" s="13"/>
      <c r="I178" s="0" t="str">
        <f aca="false">IF(OR(H178="",E178="",D178=""),"",IF(H178=E178,"push",IF(D178="Over",IF(H178&gt;E178,1,0),IF(H178&lt;E178,1,0))))</f>
        <v/>
      </c>
      <c r="J178" s="0" t="str">
        <f aca="false">IF(AND(ISNUMBER(I178),G178&lt;&gt;""),(G178-I178)^2,"")</f>
        <v/>
      </c>
    </row>
    <row r="179" customFormat="false" ht="15" hidden="false" customHeight="false" outlineLevel="0" collapsed="false">
      <c r="G179" s="13"/>
      <c r="I179" s="0" t="str">
        <f aca="false">IF(OR(H179="",E179="",D179=""),"",IF(H179=E179,"push",IF(D179="Over",IF(H179&gt;E179,1,0),IF(H179&lt;E179,1,0))))</f>
        <v/>
      </c>
      <c r="J179" s="0" t="str">
        <f aca="false">IF(AND(ISNUMBER(I179),G179&lt;&gt;""),(G179-I179)^2,"")</f>
        <v/>
      </c>
    </row>
    <row r="180" customFormat="false" ht="15" hidden="false" customHeight="false" outlineLevel="0" collapsed="false">
      <c r="G180" s="13"/>
      <c r="I180" s="0" t="str">
        <f aca="false">IF(OR(H180="",E180="",D180=""),"",IF(H180=E180,"push",IF(D180="Over",IF(H180&gt;E180,1,0),IF(H180&lt;E180,1,0))))</f>
        <v/>
      </c>
      <c r="J180" s="0" t="str">
        <f aca="false">IF(AND(ISNUMBER(I180),G180&lt;&gt;""),(G180-I180)^2,"")</f>
        <v/>
      </c>
    </row>
    <row r="181" customFormat="false" ht="15" hidden="false" customHeight="false" outlineLevel="0" collapsed="false">
      <c r="G181" s="13"/>
      <c r="I181" s="0" t="str">
        <f aca="false">IF(OR(H181="",E181="",D181=""),"",IF(H181=E181,"push",IF(D181="Over",IF(H181&gt;E181,1,0),IF(H181&lt;E181,1,0))))</f>
        <v/>
      </c>
      <c r="J181" s="0" t="str">
        <f aca="false">IF(AND(ISNUMBER(I181),G181&lt;&gt;""),(G181-I181)^2,"")</f>
        <v/>
      </c>
    </row>
    <row r="182" customFormat="false" ht="15" hidden="false" customHeight="false" outlineLevel="0" collapsed="false">
      <c r="G182" s="13"/>
      <c r="I182" s="0" t="str">
        <f aca="false">IF(OR(H182="",E182="",D182=""),"",IF(H182=E182,"push",IF(D182="Over",IF(H182&gt;E182,1,0),IF(H182&lt;E182,1,0))))</f>
        <v/>
      </c>
      <c r="J182" s="0" t="str">
        <f aca="false">IF(AND(ISNUMBER(I182),G182&lt;&gt;""),(G182-I182)^2,"")</f>
        <v/>
      </c>
    </row>
    <row r="183" customFormat="false" ht="15" hidden="false" customHeight="false" outlineLevel="0" collapsed="false">
      <c r="G183" s="13"/>
      <c r="I183" s="0" t="str">
        <f aca="false">IF(OR(H183="",E183="",D183=""),"",IF(H183=E183,"push",IF(D183="Over",IF(H183&gt;E183,1,0),IF(H183&lt;E183,1,0))))</f>
        <v/>
      </c>
      <c r="J183" s="0" t="str">
        <f aca="false">IF(AND(ISNUMBER(I183),G183&lt;&gt;""),(G183-I183)^2,"")</f>
        <v/>
      </c>
    </row>
    <row r="184" customFormat="false" ht="15" hidden="false" customHeight="false" outlineLevel="0" collapsed="false">
      <c r="G184" s="13"/>
      <c r="I184" s="0" t="str">
        <f aca="false">IF(OR(H184="",E184="",D184=""),"",IF(H184=E184,"push",IF(D184="Over",IF(H184&gt;E184,1,0),IF(H184&lt;E184,1,0))))</f>
        <v/>
      </c>
      <c r="J184" s="0" t="str">
        <f aca="false">IF(AND(ISNUMBER(I184),G184&lt;&gt;""),(G184-I184)^2,"")</f>
        <v/>
      </c>
    </row>
    <row r="185" customFormat="false" ht="15" hidden="false" customHeight="false" outlineLevel="0" collapsed="false">
      <c r="G185" s="13"/>
      <c r="I185" s="0" t="str">
        <f aca="false">IF(OR(H185="",E185="",D185=""),"",IF(H185=E185,"push",IF(D185="Over",IF(H185&gt;E185,1,0),IF(H185&lt;E185,1,0))))</f>
        <v/>
      </c>
      <c r="J185" s="0" t="str">
        <f aca="false">IF(AND(ISNUMBER(I185),G185&lt;&gt;""),(G185-I185)^2,"")</f>
        <v/>
      </c>
    </row>
    <row r="186" customFormat="false" ht="15" hidden="false" customHeight="false" outlineLevel="0" collapsed="false">
      <c r="G186" s="13"/>
      <c r="I186" s="0" t="str">
        <f aca="false">IF(OR(H186="",E186="",D186=""),"",IF(H186=E186,"push",IF(D186="Over",IF(H186&gt;E186,1,0),IF(H186&lt;E186,1,0))))</f>
        <v/>
      </c>
      <c r="J186" s="0" t="str">
        <f aca="false">IF(AND(ISNUMBER(I186),G186&lt;&gt;""),(G186-I186)^2,"")</f>
        <v/>
      </c>
    </row>
    <row r="187" customFormat="false" ht="15" hidden="false" customHeight="false" outlineLevel="0" collapsed="false">
      <c r="G187" s="13"/>
      <c r="I187" s="0" t="str">
        <f aca="false">IF(OR(H187="",E187="",D187=""),"",IF(H187=E187,"push",IF(D187="Over",IF(H187&gt;E187,1,0),IF(H187&lt;E187,1,0))))</f>
        <v/>
      </c>
      <c r="J187" s="0" t="str">
        <f aca="false">IF(AND(ISNUMBER(I187),G187&lt;&gt;""),(G187-I187)^2,"")</f>
        <v/>
      </c>
    </row>
    <row r="188" customFormat="false" ht="15" hidden="false" customHeight="false" outlineLevel="0" collapsed="false">
      <c r="G188" s="13"/>
      <c r="I188" s="0" t="str">
        <f aca="false">IF(OR(H188="",E188="",D188=""),"",IF(H188=E188,"push",IF(D188="Over",IF(H188&gt;E188,1,0),IF(H188&lt;E188,1,0))))</f>
        <v/>
      </c>
      <c r="J188" s="0" t="str">
        <f aca="false">IF(AND(ISNUMBER(I188),G188&lt;&gt;""),(G188-I188)^2,"")</f>
        <v/>
      </c>
    </row>
    <row r="189" customFormat="false" ht="15" hidden="false" customHeight="false" outlineLevel="0" collapsed="false">
      <c r="G189" s="13"/>
      <c r="I189" s="0" t="str">
        <f aca="false">IF(OR(H189="",E189="",D189=""),"",IF(H189=E189,"push",IF(D189="Over",IF(H189&gt;E189,1,0),IF(H189&lt;E189,1,0))))</f>
        <v/>
      </c>
      <c r="J189" s="0" t="str">
        <f aca="false">IF(AND(ISNUMBER(I189),G189&lt;&gt;""),(G189-I189)^2,"")</f>
        <v/>
      </c>
    </row>
    <row r="190" customFormat="false" ht="15" hidden="false" customHeight="false" outlineLevel="0" collapsed="false">
      <c r="G190" s="13"/>
      <c r="I190" s="0" t="str">
        <f aca="false">IF(OR(H190="",E190="",D190=""),"",IF(H190=E190,"push",IF(D190="Over",IF(H190&gt;E190,1,0),IF(H190&lt;E190,1,0))))</f>
        <v/>
      </c>
      <c r="J190" s="0" t="str">
        <f aca="false">IF(AND(ISNUMBER(I190),G190&lt;&gt;""),(G190-I190)^2,"")</f>
        <v/>
      </c>
    </row>
    <row r="191" customFormat="false" ht="15" hidden="false" customHeight="false" outlineLevel="0" collapsed="false">
      <c r="G191" s="13"/>
      <c r="I191" s="0" t="str">
        <f aca="false">IF(OR(H191="",E191="",D191=""),"",IF(H191=E191,"push",IF(D191="Over",IF(H191&gt;E191,1,0),IF(H191&lt;E191,1,0))))</f>
        <v/>
      </c>
      <c r="J191" s="0" t="str">
        <f aca="false">IF(AND(ISNUMBER(I191),G191&lt;&gt;""),(G191-I191)^2,"")</f>
        <v/>
      </c>
    </row>
    <row r="192" customFormat="false" ht="15" hidden="false" customHeight="false" outlineLevel="0" collapsed="false">
      <c r="G192" s="13"/>
      <c r="I192" s="0" t="str">
        <f aca="false">IF(OR(H192="",E192="",D192=""),"",IF(H192=E192,"push",IF(D192="Over",IF(H192&gt;E192,1,0),IF(H192&lt;E192,1,0))))</f>
        <v/>
      </c>
      <c r="J192" s="0" t="str">
        <f aca="false">IF(AND(ISNUMBER(I192),G192&lt;&gt;""),(G192-I192)^2,"")</f>
        <v/>
      </c>
    </row>
    <row r="193" customFormat="false" ht="15" hidden="false" customHeight="false" outlineLevel="0" collapsed="false">
      <c r="G193" s="13"/>
      <c r="I193" s="0" t="str">
        <f aca="false">IF(OR(H193="",E193="",D193=""),"",IF(H193=E193,"push",IF(D193="Over",IF(H193&gt;E193,1,0),IF(H193&lt;E193,1,0))))</f>
        <v/>
      </c>
      <c r="J193" s="0" t="str">
        <f aca="false">IF(AND(ISNUMBER(I193),G193&lt;&gt;""),(G193-I193)^2,"")</f>
        <v/>
      </c>
    </row>
    <row r="194" customFormat="false" ht="15" hidden="false" customHeight="false" outlineLevel="0" collapsed="false">
      <c r="G194" s="13"/>
      <c r="I194" s="0" t="str">
        <f aca="false">IF(OR(H194="",E194="",D194=""),"",IF(H194=E194,"push",IF(D194="Over",IF(H194&gt;E194,1,0),IF(H194&lt;E194,1,0))))</f>
        <v/>
      </c>
      <c r="J194" s="0" t="str">
        <f aca="false">IF(AND(ISNUMBER(I194),G194&lt;&gt;""),(G194-I194)^2,"")</f>
        <v/>
      </c>
    </row>
    <row r="195" customFormat="false" ht="15" hidden="false" customHeight="false" outlineLevel="0" collapsed="false">
      <c r="G195" s="13"/>
      <c r="I195" s="0" t="str">
        <f aca="false">IF(OR(H195="",E195="",D195=""),"",IF(H195=E195,"push",IF(D195="Over",IF(H195&gt;E195,1,0),IF(H195&lt;E195,1,0))))</f>
        <v/>
      </c>
      <c r="J195" s="0" t="str">
        <f aca="false">IF(AND(ISNUMBER(I195),G195&lt;&gt;""),(G195-I195)^2,"")</f>
        <v/>
      </c>
    </row>
    <row r="196" customFormat="false" ht="15" hidden="false" customHeight="false" outlineLevel="0" collapsed="false">
      <c r="G196" s="13"/>
      <c r="I196" s="0" t="str">
        <f aca="false">IF(OR(H196="",E196="",D196=""),"",IF(H196=E196,"push",IF(D196="Over",IF(H196&gt;E196,1,0),IF(H196&lt;E196,1,0))))</f>
        <v/>
      </c>
      <c r="J196" s="0" t="str">
        <f aca="false">IF(AND(ISNUMBER(I196),G196&lt;&gt;""),(G196-I196)^2,"")</f>
        <v/>
      </c>
    </row>
    <row r="197" customFormat="false" ht="15" hidden="false" customHeight="false" outlineLevel="0" collapsed="false">
      <c r="G197" s="13"/>
      <c r="I197" s="0" t="str">
        <f aca="false">IF(OR(H197="",E197="",D197=""),"",IF(H197=E197,"push",IF(D197="Over",IF(H197&gt;E197,1,0),IF(H197&lt;E197,1,0))))</f>
        <v/>
      </c>
      <c r="J197" s="0" t="str">
        <f aca="false">IF(AND(ISNUMBER(I197),G197&lt;&gt;""),(G197-I197)^2,"")</f>
        <v/>
      </c>
    </row>
    <row r="198" customFormat="false" ht="15" hidden="false" customHeight="false" outlineLevel="0" collapsed="false">
      <c r="G198" s="13"/>
      <c r="I198" s="0" t="str">
        <f aca="false">IF(OR(H198="",E198="",D198=""),"",IF(H198=E198,"push",IF(D198="Over",IF(H198&gt;E198,1,0),IF(H198&lt;E198,1,0))))</f>
        <v/>
      </c>
      <c r="J198" s="0" t="str">
        <f aca="false">IF(AND(ISNUMBER(I198),G198&lt;&gt;""),(G198-I198)^2,"")</f>
        <v/>
      </c>
    </row>
    <row r="199" customFormat="false" ht="15" hidden="false" customHeight="false" outlineLevel="0" collapsed="false">
      <c r="G199" s="13"/>
      <c r="I199" s="0" t="str">
        <f aca="false">IF(OR(H199="",E199="",D199=""),"",IF(H199=E199,"push",IF(D199="Over",IF(H199&gt;E199,1,0),IF(H199&lt;E199,1,0))))</f>
        <v/>
      </c>
      <c r="J199" s="0" t="str">
        <f aca="false">IF(AND(ISNUMBER(I199),G199&lt;&gt;""),(G199-I199)^2,"")</f>
        <v/>
      </c>
    </row>
    <row r="200" customFormat="false" ht="15" hidden="false" customHeight="false" outlineLevel="0" collapsed="false">
      <c r="G200" s="13"/>
      <c r="I200" s="0" t="str">
        <f aca="false">IF(OR(H200="",E200="",D200=""),"",IF(H200=E200,"push",IF(D200="Over",IF(H200&gt;E200,1,0),IF(H200&lt;E200,1,0))))</f>
        <v/>
      </c>
      <c r="J200" s="0" t="str">
        <f aca="false">IF(AND(ISNUMBER(I200),G200&lt;&gt;""),(G200-I200)^2,"")</f>
        <v/>
      </c>
    </row>
    <row r="201" customFormat="false" ht="15" hidden="false" customHeight="false" outlineLevel="0" collapsed="false">
      <c r="G201" s="13"/>
      <c r="I201" s="0" t="str">
        <f aca="false">IF(OR(H201="",E201="",D201=""),"",IF(H201=E201,"push",IF(D201="Over",IF(H201&gt;E201,1,0),IF(H201&lt;E201,1,0))))</f>
        <v/>
      </c>
      <c r="J201" s="0" t="str">
        <f aca="false">IF(AND(ISNUMBER(I201),G201&lt;&gt;""),(G201-I201)^2,"")</f>
        <v/>
      </c>
    </row>
    <row r="202" customFormat="false" ht="15" hidden="false" customHeight="false" outlineLevel="0" collapsed="false">
      <c r="G202" s="13"/>
      <c r="I202" s="0" t="str">
        <f aca="false">IF(OR(H202="",E202="",D202=""),"",IF(H202=E202,"push",IF(D202="Over",IF(H202&gt;E202,1,0),IF(H202&lt;E202,1,0))))</f>
        <v/>
      </c>
      <c r="J202" s="0" t="str">
        <f aca="false">IF(AND(ISNUMBER(I202),G202&lt;&gt;""),(G202-I202)^2,"")</f>
        <v/>
      </c>
    </row>
    <row r="203" customFormat="false" ht="15" hidden="false" customHeight="false" outlineLevel="0" collapsed="false">
      <c r="G203" s="13"/>
      <c r="I203" s="0" t="str">
        <f aca="false">IF(OR(H203="",E203="",D203=""),"",IF(H203=E203,"push",IF(D203="Over",IF(H203&gt;E203,1,0),IF(H203&lt;E203,1,0))))</f>
        <v/>
      </c>
      <c r="J203" s="0" t="str">
        <f aca="false">IF(AND(ISNUMBER(I203),G203&lt;&gt;""),(G203-I203)^2,"")</f>
        <v/>
      </c>
    </row>
    <row r="204" customFormat="false" ht="15" hidden="false" customHeight="false" outlineLevel="0" collapsed="false">
      <c r="G204" s="13"/>
      <c r="I204" s="0" t="str">
        <f aca="false">IF(OR(H204="",E204="",D204=""),"",IF(H204=E204,"push",IF(D204="Over",IF(H204&gt;E204,1,0),IF(H204&lt;E204,1,0))))</f>
        <v/>
      </c>
      <c r="J204" s="0" t="str">
        <f aca="false">IF(AND(ISNUMBER(I204),G204&lt;&gt;""),(G204-I204)^2,"")</f>
        <v/>
      </c>
    </row>
    <row r="205" customFormat="false" ht="15" hidden="false" customHeight="false" outlineLevel="0" collapsed="false">
      <c r="G205" s="13"/>
      <c r="I205" s="0" t="str">
        <f aca="false">IF(OR(H205="",E205="",D205=""),"",IF(H205=E205,"push",IF(D205="Over",IF(H205&gt;E205,1,0),IF(H205&lt;E205,1,0))))</f>
        <v/>
      </c>
      <c r="J205" s="0" t="str">
        <f aca="false">IF(AND(ISNUMBER(I205),G205&lt;&gt;""),(G205-I205)^2,"")</f>
        <v/>
      </c>
    </row>
    <row r="206" customFormat="false" ht="15" hidden="false" customHeight="false" outlineLevel="0" collapsed="false">
      <c r="G206" s="13"/>
      <c r="I206" s="0" t="str">
        <f aca="false">IF(OR(H206="",E206="",D206=""),"",IF(H206=E206,"push",IF(D206="Over",IF(H206&gt;E206,1,0),IF(H206&lt;E206,1,0))))</f>
        <v/>
      </c>
      <c r="J206" s="0" t="str">
        <f aca="false">IF(AND(ISNUMBER(I206),G206&lt;&gt;""),(G206-I206)^2,"")</f>
        <v/>
      </c>
    </row>
    <row r="207" customFormat="false" ht="15" hidden="false" customHeight="false" outlineLevel="0" collapsed="false">
      <c r="G207" s="13"/>
      <c r="I207" s="0" t="str">
        <f aca="false">IF(OR(H207="",E207="",D207=""),"",IF(H207=E207,"push",IF(D207="Over",IF(H207&gt;E207,1,0),IF(H207&lt;E207,1,0))))</f>
        <v/>
      </c>
      <c r="J207" s="0" t="str">
        <f aca="false">IF(AND(ISNUMBER(I207),G207&lt;&gt;""),(G207-I207)^2,"")</f>
        <v/>
      </c>
    </row>
    <row r="208" customFormat="false" ht="15" hidden="false" customHeight="false" outlineLevel="0" collapsed="false">
      <c r="G208" s="13"/>
      <c r="I208" s="0" t="str">
        <f aca="false">IF(OR(H208="",E208="",D208=""),"",IF(H208=E208,"push",IF(D208="Over",IF(H208&gt;E208,1,0),IF(H208&lt;E208,1,0))))</f>
        <v/>
      </c>
      <c r="J208" s="0" t="str">
        <f aca="false">IF(AND(ISNUMBER(I208),G208&lt;&gt;""),(G208-I208)^2,"")</f>
        <v/>
      </c>
    </row>
    <row r="209" customFormat="false" ht="15" hidden="false" customHeight="false" outlineLevel="0" collapsed="false">
      <c r="G209" s="13"/>
      <c r="I209" s="0" t="str">
        <f aca="false">IF(OR(H209="",E209="",D209=""),"",IF(H209=E209,"push",IF(D209="Over",IF(H209&gt;E209,1,0),IF(H209&lt;E209,1,0))))</f>
        <v/>
      </c>
      <c r="J209" s="0" t="str">
        <f aca="false">IF(AND(ISNUMBER(I209),G209&lt;&gt;""),(G209-I209)^2,"")</f>
        <v/>
      </c>
    </row>
    <row r="210" customFormat="false" ht="15" hidden="false" customHeight="false" outlineLevel="0" collapsed="false">
      <c r="G210" s="13"/>
      <c r="I210" s="0" t="str">
        <f aca="false">IF(OR(H210="",E210="",D210=""),"",IF(H210=E210,"push",IF(D210="Over",IF(H210&gt;E210,1,0),IF(H210&lt;E210,1,0))))</f>
        <v/>
      </c>
      <c r="J210" s="0" t="str">
        <f aca="false">IF(AND(ISNUMBER(I210),G210&lt;&gt;""),(G210-I210)^2,"")</f>
        <v/>
      </c>
    </row>
    <row r="211" customFormat="false" ht="15" hidden="false" customHeight="false" outlineLevel="0" collapsed="false">
      <c r="G211" s="13"/>
      <c r="I211" s="0" t="str">
        <f aca="false">IF(OR(H211="",E211="",D211=""),"",IF(H211=E211,"push",IF(D211="Over",IF(H211&gt;E211,1,0),IF(H211&lt;E211,1,0))))</f>
        <v/>
      </c>
      <c r="J211" s="0" t="str">
        <f aca="false">IF(AND(ISNUMBER(I211),G211&lt;&gt;""),(G211-I211)^2,"")</f>
        <v/>
      </c>
    </row>
    <row r="212" customFormat="false" ht="15" hidden="false" customHeight="false" outlineLevel="0" collapsed="false">
      <c r="G212" s="13"/>
      <c r="I212" s="0" t="str">
        <f aca="false">IF(OR(H212="",E212="",D212=""),"",IF(H212=E212,"push",IF(D212="Over",IF(H212&gt;E212,1,0),IF(H212&lt;E212,1,0))))</f>
        <v/>
      </c>
      <c r="J212" s="0" t="str">
        <f aca="false">IF(AND(ISNUMBER(I212),G212&lt;&gt;""),(G212-I212)^2,"")</f>
        <v/>
      </c>
    </row>
    <row r="213" customFormat="false" ht="15" hidden="false" customHeight="false" outlineLevel="0" collapsed="false">
      <c r="G213" s="13"/>
      <c r="I213" s="0" t="str">
        <f aca="false">IF(OR(H213="",E213="",D213=""),"",IF(H213=E213,"push",IF(D213="Over",IF(H213&gt;E213,1,0),IF(H213&lt;E213,1,0))))</f>
        <v/>
      </c>
      <c r="J213" s="0" t="str">
        <f aca="false">IF(AND(ISNUMBER(I213),G213&lt;&gt;""),(G213-I213)^2,"")</f>
        <v/>
      </c>
    </row>
    <row r="214" customFormat="false" ht="15" hidden="false" customHeight="false" outlineLevel="0" collapsed="false">
      <c r="G214" s="13"/>
      <c r="I214" s="0" t="str">
        <f aca="false">IF(OR(H214="",E214="",D214=""),"",IF(H214=E214,"push",IF(D214="Over",IF(H214&gt;E214,1,0),IF(H214&lt;E214,1,0))))</f>
        <v/>
      </c>
      <c r="J214" s="0" t="str">
        <f aca="false">IF(AND(ISNUMBER(I214),G214&lt;&gt;""),(G214-I214)^2,"")</f>
        <v/>
      </c>
    </row>
    <row r="215" customFormat="false" ht="15" hidden="false" customHeight="false" outlineLevel="0" collapsed="false">
      <c r="G215" s="13"/>
      <c r="I215" s="0" t="str">
        <f aca="false">IF(OR(H215="",E215="",D215=""),"",IF(H215=E215,"push",IF(D215="Over",IF(H215&gt;E215,1,0),IF(H215&lt;E215,1,0))))</f>
        <v/>
      </c>
      <c r="J215" s="0" t="str">
        <f aca="false">IF(AND(ISNUMBER(I215),G215&lt;&gt;""),(G215-I215)^2,"")</f>
        <v/>
      </c>
    </row>
    <row r="216" customFormat="false" ht="15" hidden="false" customHeight="false" outlineLevel="0" collapsed="false">
      <c r="G216" s="13"/>
      <c r="I216" s="0" t="str">
        <f aca="false">IF(OR(H216="",E216="",D216=""),"",IF(H216=E216,"push",IF(D216="Over",IF(H216&gt;E216,1,0),IF(H216&lt;E216,1,0))))</f>
        <v/>
      </c>
      <c r="J216" s="0" t="str">
        <f aca="false">IF(AND(ISNUMBER(I216),G216&lt;&gt;""),(G216-I216)^2,"")</f>
        <v/>
      </c>
    </row>
    <row r="217" customFormat="false" ht="15" hidden="false" customHeight="false" outlineLevel="0" collapsed="false">
      <c r="G217" s="13"/>
      <c r="I217" s="0" t="str">
        <f aca="false">IF(OR(H217="",E217="",D217=""),"",IF(H217=E217,"push",IF(D217="Over",IF(H217&gt;E217,1,0),IF(H217&lt;E217,1,0))))</f>
        <v/>
      </c>
      <c r="J217" s="0" t="str">
        <f aca="false">IF(AND(ISNUMBER(I217),G217&lt;&gt;""),(G217-I217)^2,"")</f>
        <v/>
      </c>
    </row>
    <row r="218" customFormat="false" ht="15" hidden="false" customHeight="false" outlineLevel="0" collapsed="false">
      <c r="G218" s="13"/>
      <c r="I218" s="0" t="str">
        <f aca="false">IF(OR(H218="",E218="",D218=""),"",IF(H218=E218,"push",IF(D218="Over",IF(H218&gt;E218,1,0),IF(H218&lt;E218,1,0))))</f>
        <v/>
      </c>
      <c r="J218" s="0" t="str">
        <f aca="false">IF(AND(ISNUMBER(I218),G218&lt;&gt;""),(G218-I218)^2,"")</f>
        <v/>
      </c>
    </row>
    <row r="219" customFormat="false" ht="15" hidden="false" customHeight="false" outlineLevel="0" collapsed="false">
      <c r="G219" s="13"/>
      <c r="I219" s="0" t="str">
        <f aca="false">IF(OR(H219="",E219="",D219=""),"",IF(H219=E219,"push",IF(D219="Over",IF(H219&gt;E219,1,0),IF(H219&lt;E219,1,0))))</f>
        <v/>
      </c>
      <c r="J219" s="0" t="str">
        <f aca="false">IF(AND(ISNUMBER(I219),G219&lt;&gt;""),(G219-I219)^2,"")</f>
        <v/>
      </c>
    </row>
    <row r="220" customFormat="false" ht="15" hidden="false" customHeight="false" outlineLevel="0" collapsed="false">
      <c r="G220" s="13"/>
      <c r="I220" s="0" t="str">
        <f aca="false">IF(OR(H220="",E220="",D220=""),"",IF(H220=E220,"push",IF(D220="Over",IF(H220&gt;E220,1,0),IF(H220&lt;E220,1,0))))</f>
        <v/>
      </c>
      <c r="J220" s="0" t="str">
        <f aca="false">IF(AND(ISNUMBER(I220),G220&lt;&gt;""),(G220-I220)^2,"")</f>
        <v/>
      </c>
    </row>
    <row r="221" customFormat="false" ht="15" hidden="false" customHeight="false" outlineLevel="0" collapsed="false">
      <c r="G221" s="13"/>
      <c r="I221" s="0" t="str">
        <f aca="false">IF(OR(H221="",E221="",D221=""),"",IF(H221=E221,"push",IF(D221="Over",IF(H221&gt;E221,1,0),IF(H221&lt;E221,1,0))))</f>
        <v/>
      </c>
      <c r="J221" s="0" t="str">
        <f aca="false">IF(AND(ISNUMBER(I221),G221&lt;&gt;""),(G221-I221)^2,"")</f>
        <v/>
      </c>
    </row>
    <row r="222" customFormat="false" ht="15" hidden="false" customHeight="false" outlineLevel="0" collapsed="false">
      <c r="G222" s="13"/>
      <c r="I222" s="0" t="str">
        <f aca="false">IF(OR(H222="",E222="",D222=""),"",IF(H222=E222,"push",IF(D222="Over",IF(H222&gt;E222,1,0),IF(H222&lt;E222,1,0))))</f>
        <v/>
      </c>
      <c r="J222" s="0" t="str">
        <f aca="false">IF(AND(ISNUMBER(I222),G222&lt;&gt;""),(G222-I222)^2,"")</f>
        <v/>
      </c>
    </row>
    <row r="223" customFormat="false" ht="15" hidden="false" customHeight="false" outlineLevel="0" collapsed="false">
      <c r="G223" s="13"/>
      <c r="I223" s="0" t="str">
        <f aca="false">IF(OR(H223="",E223="",D223=""),"",IF(H223=E223,"push",IF(D223="Over",IF(H223&gt;E223,1,0),IF(H223&lt;E223,1,0))))</f>
        <v/>
      </c>
      <c r="J223" s="0" t="str">
        <f aca="false">IF(AND(ISNUMBER(I223),G223&lt;&gt;""),(G223-I223)^2,"")</f>
        <v/>
      </c>
    </row>
    <row r="224" customFormat="false" ht="15" hidden="false" customHeight="false" outlineLevel="0" collapsed="false">
      <c r="G224" s="13"/>
      <c r="I224" s="0" t="str">
        <f aca="false">IF(OR(H224="",E224="",D224=""),"",IF(H224=E224,"push",IF(D224="Over",IF(H224&gt;E224,1,0),IF(H224&lt;E224,1,0))))</f>
        <v/>
      </c>
      <c r="J224" s="0" t="str">
        <f aca="false">IF(AND(ISNUMBER(I224),G224&lt;&gt;""),(G224-I224)^2,"")</f>
        <v/>
      </c>
    </row>
    <row r="225" customFormat="false" ht="15" hidden="false" customHeight="false" outlineLevel="0" collapsed="false">
      <c r="G225" s="13"/>
      <c r="I225" s="0" t="str">
        <f aca="false">IF(OR(H225="",E225="",D225=""),"",IF(H225=E225,"push",IF(D225="Over",IF(H225&gt;E225,1,0),IF(H225&lt;E225,1,0))))</f>
        <v/>
      </c>
      <c r="J225" s="0" t="str">
        <f aca="false">IF(AND(ISNUMBER(I225),G225&lt;&gt;""),(G225-I225)^2,"")</f>
        <v/>
      </c>
    </row>
    <row r="226" customFormat="false" ht="15" hidden="false" customHeight="false" outlineLevel="0" collapsed="false">
      <c r="G226" s="13"/>
      <c r="I226" s="0" t="str">
        <f aca="false">IF(OR(H226="",E226="",D226=""),"",IF(H226=E226,"push",IF(D226="Over",IF(H226&gt;E226,1,0),IF(H226&lt;E226,1,0))))</f>
        <v/>
      </c>
      <c r="J226" s="0" t="str">
        <f aca="false">IF(AND(ISNUMBER(I226),G226&lt;&gt;""),(G226-I226)^2,"")</f>
        <v/>
      </c>
    </row>
    <row r="227" customFormat="false" ht="15" hidden="false" customHeight="false" outlineLevel="0" collapsed="false">
      <c r="G227" s="13"/>
      <c r="I227" s="0" t="str">
        <f aca="false">IF(OR(H227="",E227="",D227=""),"",IF(H227=E227,"push",IF(D227="Over",IF(H227&gt;E227,1,0),IF(H227&lt;E227,1,0))))</f>
        <v/>
      </c>
      <c r="J227" s="0" t="str">
        <f aca="false">IF(AND(ISNUMBER(I227),G227&lt;&gt;""),(G227-I227)^2,"")</f>
        <v/>
      </c>
    </row>
    <row r="228" customFormat="false" ht="15" hidden="false" customHeight="false" outlineLevel="0" collapsed="false">
      <c r="G228" s="13"/>
      <c r="I228" s="0" t="str">
        <f aca="false">IF(OR(H228="",E228="",D228=""),"",IF(H228=E228,"push",IF(D228="Over",IF(H228&gt;E228,1,0),IF(H228&lt;E228,1,0))))</f>
        <v/>
      </c>
      <c r="J228" s="0" t="str">
        <f aca="false">IF(AND(ISNUMBER(I228),G228&lt;&gt;""),(G228-I228)^2,"")</f>
        <v/>
      </c>
    </row>
    <row r="229" customFormat="false" ht="15" hidden="false" customHeight="false" outlineLevel="0" collapsed="false">
      <c r="G229" s="13"/>
      <c r="I229" s="0" t="str">
        <f aca="false">IF(OR(H229="",E229="",D229=""),"",IF(H229=E229,"push",IF(D229="Over",IF(H229&gt;E229,1,0),IF(H229&lt;E229,1,0))))</f>
        <v/>
      </c>
      <c r="J229" s="0" t="str">
        <f aca="false">IF(AND(ISNUMBER(I229),G229&lt;&gt;""),(G229-I229)^2,"")</f>
        <v/>
      </c>
    </row>
    <row r="230" customFormat="false" ht="15" hidden="false" customHeight="false" outlineLevel="0" collapsed="false">
      <c r="G230" s="13"/>
      <c r="I230" s="0" t="str">
        <f aca="false">IF(OR(H230="",E230="",D230=""),"",IF(H230=E230,"push",IF(D230="Over",IF(H230&gt;E230,1,0),IF(H230&lt;E230,1,0))))</f>
        <v/>
      </c>
      <c r="J230" s="0" t="str">
        <f aca="false">IF(AND(ISNUMBER(I230),G230&lt;&gt;""),(G230-I230)^2,"")</f>
        <v/>
      </c>
    </row>
    <row r="231" customFormat="false" ht="15" hidden="false" customHeight="false" outlineLevel="0" collapsed="false">
      <c r="G231" s="13"/>
      <c r="I231" s="0" t="str">
        <f aca="false">IF(OR(H231="",E231="",D231=""),"",IF(H231=E231,"push",IF(D231="Over",IF(H231&gt;E231,1,0),IF(H231&lt;E231,1,0))))</f>
        <v/>
      </c>
      <c r="J231" s="0" t="str">
        <f aca="false">IF(AND(ISNUMBER(I231),G231&lt;&gt;""),(G231-I231)^2,"")</f>
        <v/>
      </c>
    </row>
    <row r="232" customFormat="false" ht="15" hidden="false" customHeight="false" outlineLevel="0" collapsed="false">
      <c r="G232" s="13"/>
      <c r="I232" s="0" t="str">
        <f aca="false">IF(OR(H232="",E232="",D232=""),"",IF(H232=E232,"push",IF(D232="Over",IF(H232&gt;E232,1,0),IF(H232&lt;E232,1,0))))</f>
        <v/>
      </c>
      <c r="J232" s="0" t="str">
        <f aca="false">IF(AND(ISNUMBER(I232),G232&lt;&gt;""),(G232-I232)^2,"")</f>
        <v/>
      </c>
    </row>
    <row r="233" customFormat="false" ht="15" hidden="false" customHeight="false" outlineLevel="0" collapsed="false">
      <c r="G233" s="13"/>
      <c r="I233" s="0" t="str">
        <f aca="false">IF(OR(H233="",E233="",D233=""),"",IF(H233=E233,"push",IF(D233="Over",IF(H233&gt;E233,1,0),IF(H233&lt;E233,1,0))))</f>
        <v/>
      </c>
      <c r="J233" s="0" t="str">
        <f aca="false">IF(AND(ISNUMBER(I233),G233&lt;&gt;""),(G233-I233)^2,"")</f>
        <v/>
      </c>
    </row>
    <row r="234" customFormat="false" ht="15" hidden="false" customHeight="false" outlineLevel="0" collapsed="false">
      <c r="G234" s="13"/>
      <c r="I234" s="0" t="str">
        <f aca="false">IF(OR(H234="",E234="",D234=""),"",IF(H234=E234,"push",IF(D234="Over",IF(H234&gt;E234,1,0),IF(H234&lt;E234,1,0))))</f>
        <v/>
      </c>
      <c r="J234" s="0" t="str">
        <f aca="false">IF(AND(ISNUMBER(I234),G234&lt;&gt;""),(G234-I234)^2,"")</f>
        <v/>
      </c>
    </row>
    <row r="235" customFormat="false" ht="15" hidden="false" customHeight="false" outlineLevel="0" collapsed="false">
      <c r="G235" s="13"/>
      <c r="I235" s="0" t="str">
        <f aca="false">IF(OR(H235="",E235="",D235=""),"",IF(H235=E235,"push",IF(D235="Over",IF(H235&gt;E235,1,0),IF(H235&lt;E235,1,0))))</f>
        <v/>
      </c>
      <c r="J235" s="0" t="str">
        <f aca="false">IF(AND(ISNUMBER(I235),G235&lt;&gt;""),(G235-I235)^2,"")</f>
        <v/>
      </c>
    </row>
    <row r="236" customFormat="false" ht="15" hidden="false" customHeight="false" outlineLevel="0" collapsed="false">
      <c r="G236" s="13"/>
      <c r="I236" s="0" t="str">
        <f aca="false">IF(OR(H236="",E236="",D236=""),"",IF(H236=E236,"push",IF(D236="Over",IF(H236&gt;E236,1,0),IF(H236&lt;E236,1,0))))</f>
        <v/>
      </c>
      <c r="J236" s="0" t="str">
        <f aca="false">IF(AND(ISNUMBER(I236),G236&lt;&gt;""),(G236-I236)^2,"")</f>
        <v/>
      </c>
    </row>
    <row r="237" customFormat="false" ht="15" hidden="false" customHeight="false" outlineLevel="0" collapsed="false">
      <c r="G237" s="13"/>
      <c r="I237" s="0" t="str">
        <f aca="false">IF(OR(H237="",E237="",D237=""),"",IF(H237=E237,"push",IF(D237="Over",IF(H237&gt;E237,1,0),IF(H237&lt;E237,1,0))))</f>
        <v/>
      </c>
      <c r="J237" s="0" t="str">
        <f aca="false">IF(AND(ISNUMBER(I237),G237&lt;&gt;""),(G237-I237)^2,"")</f>
        <v/>
      </c>
    </row>
    <row r="238" customFormat="false" ht="15" hidden="false" customHeight="false" outlineLevel="0" collapsed="false">
      <c r="G238" s="13"/>
      <c r="I238" s="0" t="str">
        <f aca="false">IF(OR(H238="",E238="",D238=""),"",IF(H238=E238,"push",IF(D238="Over",IF(H238&gt;E238,1,0),IF(H238&lt;E238,1,0))))</f>
        <v/>
      </c>
      <c r="J238" s="0" t="str">
        <f aca="false">IF(AND(ISNUMBER(I238),G238&lt;&gt;""),(G238-I238)^2,"")</f>
        <v/>
      </c>
    </row>
    <row r="239" customFormat="false" ht="15" hidden="false" customHeight="false" outlineLevel="0" collapsed="false">
      <c r="G239" s="13"/>
      <c r="I239" s="0" t="str">
        <f aca="false">IF(OR(H239="",E239="",D239=""),"",IF(H239=E239,"push",IF(D239="Over",IF(H239&gt;E239,1,0),IF(H239&lt;E239,1,0))))</f>
        <v/>
      </c>
      <c r="J239" s="0" t="str">
        <f aca="false">IF(AND(ISNUMBER(I239),G239&lt;&gt;""),(G239-I239)^2,"")</f>
        <v/>
      </c>
    </row>
    <row r="240" customFormat="false" ht="15" hidden="false" customHeight="false" outlineLevel="0" collapsed="false">
      <c r="G240" s="13"/>
      <c r="I240" s="0" t="str">
        <f aca="false">IF(OR(H240="",E240="",D240=""),"",IF(H240=E240,"push",IF(D240="Over",IF(H240&gt;E240,1,0),IF(H240&lt;E240,1,0))))</f>
        <v/>
      </c>
      <c r="J240" s="0" t="str">
        <f aca="false">IF(AND(ISNUMBER(I240),G240&lt;&gt;""),(G240-I240)^2,"")</f>
        <v/>
      </c>
    </row>
    <row r="241" customFormat="false" ht="15" hidden="false" customHeight="false" outlineLevel="0" collapsed="false">
      <c r="G241" s="13"/>
      <c r="I241" s="0" t="str">
        <f aca="false">IF(OR(H241="",E241="",D241=""),"",IF(H241=E241,"push",IF(D241="Over",IF(H241&gt;E241,1,0),IF(H241&lt;E241,1,0))))</f>
        <v/>
      </c>
      <c r="J241" s="0" t="str">
        <f aca="false">IF(AND(ISNUMBER(I241),G241&lt;&gt;""),(G241-I241)^2,"")</f>
        <v/>
      </c>
    </row>
    <row r="242" customFormat="false" ht="15" hidden="false" customHeight="false" outlineLevel="0" collapsed="false">
      <c r="G242" s="13"/>
      <c r="I242" s="0" t="str">
        <f aca="false">IF(OR(H242="",E242="",D242=""),"",IF(H242=E242,"push",IF(D242="Over",IF(H242&gt;E242,1,0),IF(H242&lt;E242,1,0))))</f>
        <v/>
      </c>
      <c r="J242" s="0" t="str">
        <f aca="false">IF(AND(ISNUMBER(I242),G242&lt;&gt;""),(G242-I242)^2,"")</f>
        <v/>
      </c>
    </row>
    <row r="243" customFormat="false" ht="15" hidden="false" customHeight="false" outlineLevel="0" collapsed="false">
      <c r="G243" s="13"/>
      <c r="I243" s="0" t="str">
        <f aca="false">IF(OR(H243="",E243="",D243=""),"",IF(H243=E243,"push",IF(D243="Over",IF(H243&gt;E243,1,0),IF(H243&lt;E243,1,0))))</f>
        <v/>
      </c>
      <c r="J243" s="0" t="str">
        <f aca="false">IF(AND(ISNUMBER(I243),G243&lt;&gt;""),(G243-I243)^2,"")</f>
        <v/>
      </c>
    </row>
    <row r="244" customFormat="false" ht="15" hidden="false" customHeight="false" outlineLevel="0" collapsed="false">
      <c r="G244" s="13"/>
      <c r="I244" s="0" t="str">
        <f aca="false">IF(OR(H244="",E244="",D244=""),"",IF(H244=E244,"push",IF(D244="Over",IF(H244&gt;E244,1,0),IF(H244&lt;E244,1,0))))</f>
        <v/>
      </c>
      <c r="J244" s="0" t="str">
        <f aca="false">IF(AND(ISNUMBER(I244),G244&lt;&gt;""),(G244-I244)^2,"")</f>
        <v/>
      </c>
    </row>
    <row r="245" customFormat="false" ht="15" hidden="false" customHeight="false" outlineLevel="0" collapsed="false">
      <c r="G245" s="13"/>
      <c r="I245" s="0" t="str">
        <f aca="false">IF(OR(H245="",E245="",D245=""),"",IF(H245=E245,"push",IF(D245="Over",IF(H245&gt;E245,1,0),IF(H245&lt;E245,1,0))))</f>
        <v/>
      </c>
      <c r="J245" s="0" t="str">
        <f aca="false">IF(AND(ISNUMBER(I245),G245&lt;&gt;""),(G245-I245)^2,"")</f>
        <v/>
      </c>
    </row>
    <row r="246" customFormat="false" ht="15" hidden="false" customHeight="false" outlineLevel="0" collapsed="false">
      <c r="G246" s="13"/>
      <c r="I246" s="0" t="str">
        <f aca="false">IF(OR(H246="",E246="",D246=""),"",IF(H246=E246,"push",IF(D246="Over",IF(H246&gt;E246,1,0),IF(H246&lt;E246,1,0))))</f>
        <v/>
      </c>
      <c r="J246" s="0" t="str">
        <f aca="false">IF(AND(ISNUMBER(I246),G246&lt;&gt;""),(G246-I246)^2,"")</f>
        <v/>
      </c>
    </row>
    <row r="247" customFormat="false" ht="15" hidden="false" customHeight="false" outlineLevel="0" collapsed="false">
      <c r="G247" s="13"/>
      <c r="I247" s="0" t="str">
        <f aca="false">IF(OR(H247="",E247="",D247=""),"",IF(H247=E247,"push",IF(D247="Over",IF(H247&gt;E247,1,0),IF(H247&lt;E247,1,0))))</f>
        <v/>
      </c>
      <c r="J247" s="0" t="str">
        <f aca="false">IF(AND(ISNUMBER(I247),G247&lt;&gt;""),(G247-I247)^2,"")</f>
        <v/>
      </c>
    </row>
    <row r="248" customFormat="false" ht="15" hidden="false" customHeight="false" outlineLevel="0" collapsed="false">
      <c r="G248" s="13"/>
      <c r="I248" s="0" t="str">
        <f aca="false">IF(OR(H248="",E248="",D248=""),"",IF(H248=E248,"push",IF(D248="Over",IF(H248&gt;E248,1,0),IF(H248&lt;E248,1,0))))</f>
        <v/>
      </c>
      <c r="J248" s="0" t="str">
        <f aca="false">IF(AND(ISNUMBER(I248),G248&lt;&gt;""),(G248-I248)^2,"")</f>
        <v/>
      </c>
    </row>
    <row r="249" customFormat="false" ht="15" hidden="false" customHeight="false" outlineLevel="0" collapsed="false">
      <c r="G249" s="13"/>
      <c r="I249" s="0" t="str">
        <f aca="false">IF(OR(H249="",E249="",D249=""),"",IF(H249=E249,"push",IF(D249="Over",IF(H249&gt;E249,1,0),IF(H249&lt;E249,1,0))))</f>
        <v/>
      </c>
      <c r="J249" s="0" t="str">
        <f aca="false">IF(AND(ISNUMBER(I249),G249&lt;&gt;""),(G249-I249)^2,"")</f>
        <v/>
      </c>
    </row>
    <row r="250" customFormat="false" ht="15" hidden="false" customHeight="false" outlineLevel="0" collapsed="false">
      <c r="G250" s="13"/>
      <c r="I250" s="0" t="str">
        <f aca="false">IF(OR(H250="",E250="",D250=""),"",IF(H250=E250,"push",IF(D250="Over",IF(H250&gt;E250,1,0),IF(H250&lt;E250,1,0))))</f>
        <v/>
      </c>
      <c r="J250" s="0" t="str">
        <f aca="false">IF(AND(ISNUMBER(I250),G250&lt;&gt;""),(G250-I250)^2,"")</f>
        <v/>
      </c>
    </row>
    <row r="251" customFormat="false" ht="15" hidden="false" customHeight="false" outlineLevel="0" collapsed="false">
      <c r="G251" s="13"/>
      <c r="I251" s="0" t="str">
        <f aca="false">IF(OR(H251="",E251="",D251=""),"",IF(H251=E251,"push",IF(D251="Over",IF(H251&gt;E251,1,0),IF(H251&lt;E251,1,0))))</f>
        <v/>
      </c>
      <c r="J251" s="0" t="str">
        <f aca="false">IF(AND(ISNUMBER(I251),G251&lt;&gt;""),(G251-I251)^2,"")</f>
        <v/>
      </c>
    </row>
    <row r="252" customFormat="false" ht="15" hidden="false" customHeight="false" outlineLevel="0" collapsed="false">
      <c r="G252" s="13"/>
      <c r="I252" s="0" t="str">
        <f aca="false">IF(OR(H252="",E252="",D252=""),"",IF(H252=E252,"push",IF(D252="Over",IF(H252&gt;E252,1,0),IF(H252&lt;E252,1,0))))</f>
        <v/>
      </c>
      <c r="J252" s="0" t="str">
        <f aca="false">IF(AND(ISNUMBER(I252),G252&lt;&gt;""),(G252-I252)^2,"")</f>
        <v/>
      </c>
    </row>
    <row r="253" customFormat="false" ht="15" hidden="false" customHeight="false" outlineLevel="0" collapsed="false">
      <c r="G253" s="13"/>
      <c r="I253" s="0" t="str">
        <f aca="false">IF(OR(H253="",E253="",D253=""),"",IF(H253=E253,"push",IF(D253="Over",IF(H253&gt;E253,1,0),IF(H253&lt;E253,1,0))))</f>
        <v/>
      </c>
      <c r="J253" s="0" t="str">
        <f aca="false">IF(AND(ISNUMBER(I253),G253&lt;&gt;""),(G253-I253)^2,"")</f>
        <v/>
      </c>
    </row>
    <row r="254" customFormat="false" ht="15" hidden="false" customHeight="false" outlineLevel="0" collapsed="false">
      <c r="G254" s="13"/>
      <c r="I254" s="0" t="str">
        <f aca="false">IF(OR(H254="",E254="",D254=""),"",IF(H254=E254,"push",IF(D254="Over",IF(H254&gt;E254,1,0),IF(H254&lt;E254,1,0))))</f>
        <v/>
      </c>
      <c r="J254" s="0" t="str">
        <f aca="false">IF(AND(ISNUMBER(I254),G254&lt;&gt;""),(G254-I254)^2,"")</f>
        <v/>
      </c>
    </row>
    <row r="255" customFormat="false" ht="15" hidden="false" customHeight="false" outlineLevel="0" collapsed="false">
      <c r="G255" s="13"/>
      <c r="I255" s="0" t="str">
        <f aca="false">IF(OR(H255="",E255="",D255=""),"",IF(H255=E255,"push",IF(D255="Over",IF(H255&gt;E255,1,0),IF(H255&lt;E255,1,0))))</f>
        <v/>
      </c>
      <c r="J255" s="0" t="str">
        <f aca="false">IF(AND(ISNUMBER(I255),G255&lt;&gt;""),(G255-I255)^2,"")</f>
        <v/>
      </c>
    </row>
    <row r="256" customFormat="false" ht="15" hidden="false" customHeight="false" outlineLevel="0" collapsed="false">
      <c r="G256" s="13"/>
      <c r="I256" s="0" t="str">
        <f aca="false">IF(OR(H256="",E256="",D256=""),"",IF(H256=E256,"push",IF(D256="Over",IF(H256&gt;E256,1,0),IF(H256&lt;E256,1,0))))</f>
        <v/>
      </c>
      <c r="J256" s="0" t="str">
        <f aca="false">IF(AND(ISNUMBER(I256),G256&lt;&gt;""),(G256-I256)^2,"")</f>
        <v/>
      </c>
    </row>
    <row r="257" customFormat="false" ht="15" hidden="false" customHeight="false" outlineLevel="0" collapsed="false">
      <c r="G257" s="13"/>
      <c r="I257" s="0" t="str">
        <f aca="false">IF(OR(H257="",E257="",D257=""),"",IF(H257=E257,"push",IF(D257="Over",IF(H257&gt;E257,1,0),IF(H257&lt;E257,1,0))))</f>
        <v/>
      </c>
      <c r="J257" s="0" t="str">
        <f aca="false">IF(AND(ISNUMBER(I257),G257&lt;&gt;""),(G257-I257)^2,"")</f>
        <v/>
      </c>
    </row>
    <row r="258" customFormat="false" ht="15" hidden="false" customHeight="false" outlineLevel="0" collapsed="false">
      <c r="G258" s="13"/>
      <c r="I258" s="0" t="str">
        <f aca="false">IF(OR(H258="",E258="",D258=""),"",IF(H258=E258,"push",IF(D258="Over",IF(H258&gt;E258,1,0),IF(H258&lt;E258,1,0))))</f>
        <v/>
      </c>
      <c r="J258" s="0" t="str">
        <f aca="false">IF(AND(ISNUMBER(I258),G258&lt;&gt;""),(G258-I258)^2,"")</f>
        <v/>
      </c>
    </row>
    <row r="259" customFormat="false" ht="15" hidden="false" customHeight="false" outlineLevel="0" collapsed="false">
      <c r="G259" s="13"/>
      <c r="I259" s="0" t="str">
        <f aca="false">IF(OR(H259="",E259="",D259=""),"",IF(H259=E259,"push",IF(D259="Over",IF(H259&gt;E259,1,0),IF(H259&lt;E259,1,0))))</f>
        <v/>
      </c>
      <c r="J259" s="0" t="str">
        <f aca="false">IF(AND(ISNUMBER(I259),G259&lt;&gt;""),(G259-I259)^2,"")</f>
        <v/>
      </c>
    </row>
    <row r="260" customFormat="false" ht="15" hidden="false" customHeight="false" outlineLevel="0" collapsed="false">
      <c r="G260" s="13"/>
      <c r="I260" s="0" t="str">
        <f aca="false">IF(OR(H260="",E260="",D260=""),"",IF(H260=E260,"push",IF(D260="Over",IF(H260&gt;E260,1,0),IF(H260&lt;E260,1,0))))</f>
        <v/>
      </c>
      <c r="J260" s="0" t="str">
        <f aca="false">IF(AND(ISNUMBER(I260),G260&lt;&gt;""),(G260-I260)^2,"")</f>
        <v/>
      </c>
    </row>
    <row r="261" customFormat="false" ht="15" hidden="false" customHeight="false" outlineLevel="0" collapsed="false">
      <c r="G261" s="13"/>
      <c r="I261" s="0" t="str">
        <f aca="false">IF(OR(H261="",E261="",D261=""),"",IF(H261=E261,"push",IF(D261="Over",IF(H261&gt;E261,1,0),IF(H261&lt;E261,1,0))))</f>
        <v/>
      </c>
      <c r="J261" s="0" t="str">
        <f aca="false">IF(AND(ISNUMBER(I261),G261&lt;&gt;""),(G261-I261)^2,"")</f>
        <v/>
      </c>
    </row>
    <row r="262" customFormat="false" ht="15" hidden="false" customHeight="false" outlineLevel="0" collapsed="false">
      <c r="G262" s="13"/>
      <c r="I262" s="0" t="str">
        <f aca="false">IF(OR(H262="",E262="",D262=""),"",IF(H262=E262,"push",IF(D262="Over",IF(H262&gt;E262,1,0),IF(H262&lt;E262,1,0))))</f>
        <v/>
      </c>
      <c r="J262" s="0" t="str">
        <f aca="false">IF(AND(ISNUMBER(I262),G262&lt;&gt;""),(G262-I262)^2,"")</f>
        <v/>
      </c>
    </row>
    <row r="263" customFormat="false" ht="15" hidden="false" customHeight="false" outlineLevel="0" collapsed="false">
      <c r="G263" s="13"/>
      <c r="I263" s="0" t="str">
        <f aca="false">IF(OR(H263="",E263="",D263=""),"",IF(H263=E263,"push",IF(D263="Over",IF(H263&gt;E263,1,0),IF(H263&lt;E263,1,0))))</f>
        <v/>
      </c>
      <c r="J263" s="0" t="str">
        <f aca="false">IF(AND(ISNUMBER(I263),G263&lt;&gt;""),(G263-I263)^2,"")</f>
        <v/>
      </c>
    </row>
    <row r="264" customFormat="false" ht="15" hidden="false" customHeight="false" outlineLevel="0" collapsed="false">
      <c r="G264" s="13"/>
      <c r="I264" s="0" t="str">
        <f aca="false">IF(OR(H264="",E264="",D264=""),"",IF(H264=E264,"push",IF(D264="Over",IF(H264&gt;E264,1,0),IF(H264&lt;E264,1,0))))</f>
        <v/>
      </c>
      <c r="J264" s="0" t="str">
        <f aca="false">IF(AND(ISNUMBER(I264),G264&lt;&gt;""),(G264-I264)^2,"")</f>
        <v/>
      </c>
    </row>
    <row r="265" customFormat="false" ht="15" hidden="false" customHeight="false" outlineLevel="0" collapsed="false">
      <c r="G265" s="13"/>
      <c r="I265" s="0" t="str">
        <f aca="false">IF(OR(H265="",E265="",D265=""),"",IF(H265=E265,"push",IF(D265="Over",IF(H265&gt;E265,1,0),IF(H265&lt;E265,1,0))))</f>
        <v/>
      </c>
      <c r="J265" s="0" t="str">
        <f aca="false">IF(AND(ISNUMBER(I265),G265&lt;&gt;""),(G265-I265)^2,"")</f>
        <v/>
      </c>
    </row>
    <row r="266" customFormat="false" ht="15" hidden="false" customHeight="false" outlineLevel="0" collapsed="false">
      <c r="G266" s="13"/>
      <c r="I266" s="0" t="str">
        <f aca="false">IF(OR(H266="",E266="",D266=""),"",IF(H266=E266,"push",IF(D266="Over",IF(H266&gt;E266,1,0),IF(H266&lt;E266,1,0))))</f>
        <v/>
      </c>
      <c r="J266" s="0" t="str">
        <f aca="false">IF(AND(ISNUMBER(I266),G266&lt;&gt;""),(G266-I266)^2,"")</f>
        <v/>
      </c>
    </row>
    <row r="267" customFormat="false" ht="15" hidden="false" customHeight="false" outlineLevel="0" collapsed="false">
      <c r="G267" s="13"/>
      <c r="I267" s="0" t="str">
        <f aca="false">IF(OR(H267="",E267="",D267=""),"",IF(H267=E267,"push",IF(D267="Over",IF(H267&gt;E267,1,0),IF(H267&lt;E267,1,0))))</f>
        <v/>
      </c>
      <c r="J267" s="0" t="str">
        <f aca="false">IF(AND(ISNUMBER(I267),G267&lt;&gt;""),(G267-I267)^2,"")</f>
        <v/>
      </c>
    </row>
    <row r="268" customFormat="false" ht="15" hidden="false" customHeight="false" outlineLevel="0" collapsed="false">
      <c r="G268" s="13"/>
      <c r="I268" s="0" t="str">
        <f aca="false">IF(OR(H268="",E268="",D268=""),"",IF(H268=E268,"push",IF(D268="Over",IF(H268&gt;E268,1,0),IF(H268&lt;E268,1,0))))</f>
        <v/>
      </c>
      <c r="J268" s="0" t="str">
        <f aca="false">IF(AND(ISNUMBER(I268),G268&lt;&gt;""),(G268-I268)^2,"")</f>
        <v/>
      </c>
    </row>
    <row r="269" customFormat="false" ht="15" hidden="false" customHeight="false" outlineLevel="0" collapsed="false">
      <c r="G269" s="13"/>
      <c r="I269" s="0" t="str">
        <f aca="false">IF(OR(H269="",E269="",D269=""),"",IF(H269=E269,"push",IF(D269="Over",IF(H269&gt;E269,1,0),IF(H269&lt;E269,1,0))))</f>
        <v/>
      </c>
      <c r="J269" s="0" t="str">
        <f aca="false">IF(AND(ISNUMBER(I269),G269&lt;&gt;""),(G269-I269)^2,"")</f>
        <v/>
      </c>
    </row>
    <row r="270" customFormat="false" ht="15" hidden="false" customHeight="false" outlineLevel="0" collapsed="false">
      <c r="G270" s="13"/>
      <c r="I270" s="0" t="str">
        <f aca="false">IF(OR(H270="",E270="",D270=""),"",IF(H270=E270,"push",IF(D270="Over",IF(H270&gt;E270,1,0),IF(H270&lt;E270,1,0))))</f>
        <v/>
      </c>
      <c r="J270" s="0" t="str">
        <f aca="false">IF(AND(ISNUMBER(I270),G270&lt;&gt;""),(G270-I270)^2,"")</f>
        <v/>
      </c>
    </row>
    <row r="271" customFormat="false" ht="15" hidden="false" customHeight="false" outlineLevel="0" collapsed="false">
      <c r="G271" s="13"/>
      <c r="I271" s="0" t="str">
        <f aca="false">IF(OR(H271="",E271="",D271=""),"",IF(H271=E271,"push",IF(D271="Over",IF(H271&gt;E271,1,0),IF(H271&lt;E271,1,0))))</f>
        <v/>
      </c>
      <c r="J271" s="0" t="str">
        <f aca="false">IF(AND(ISNUMBER(I271),G271&lt;&gt;""),(G271-I271)^2,"")</f>
        <v/>
      </c>
    </row>
    <row r="272" customFormat="false" ht="15" hidden="false" customHeight="false" outlineLevel="0" collapsed="false">
      <c r="G272" s="13"/>
      <c r="I272" s="0" t="str">
        <f aca="false">IF(OR(H272="",E272="",D272=""),"",IF(H272=E272,"push",IF(D272="Over",IF(H272&gt;E272,1,0),IF(H272&lt;E272,1,0))))</f>
        <v/>
      </c>
      <c r="J272" s="0" t="str">
        <f aca="false">IF(AND(ISNUMBER(I272),G272&lt;&gt;""),(G272-I272)^2,"")</f>
        <v/>
      </c>
    </row>
    <row r="273" customFormat="false" ht="15" hidden="false" customHeight="false" outlineLevel="0" collapsed="false">
      <c r="G273" s="13"/>
      <c r="I273" s="0" t="str">
        <f aca="false">IF(OR(H273="",E273="",D273=""),"",IF(H273=E273,"push",IF(D273="Over",IF(H273&gt;E273,1,0),IF(H273&lt;E273,1,0))))</f>
        <v/>
      </c>
      <c r="J273" s="0" t="str">
        <f aca="false">IF(AND(ISNUMBER(I273),G273&lt;&gt;""),(G273-I273)^2,"")</f>
        <v/>
      </c>
    </row>
    <row r="274" customFormat="false" ht="15" hidden="false" customHeight="false" outlineLevel="0" collapsed="false">
      <c r="G274" s="13"/>
      <c r="I274" s="0" t="str">
        <f aca="false">IF(OR(H274="",E274="",D274=""),"",IF(H274=E274,"push",IF(D274="Over",IF(H274&gt;E274,1,0),IF(H274&lt;E274,1,0))))</f>
        <v/>
      </c>
      <c r="J274" s="0" t="str">
        <f aca="false">IF(AND(ISNUMBER(I274),G274&lt;&gt;""),(G274-I274)^2,"")</f>
        <v/>
      </c>
    </row>
    <row r="275" customFormat="false" ht="15" hidden="false" customHeight="false" outlineLevel="0" collapsed="false">
      <c r="G275" s="13"/>
      <c r="I275" s="0" t="str">
        <f aca="false">IF(OR(H275="",E275="",D275=""),"",IF(H275=E275,"push",IF(D275="Over",IF(H275&gt;E275,1,0),IF(H275&lt;E275,1,0))))</f>
        <v/>
      </c>
      <c r="J275" s="0" t="str">
        <f aca="false">IF(AND(ISNUMBER(I275),G275&lt;&gt;""),(G275-I275)^2,"")</f>
        <v/>
      </c>
    </row>
    <row r="276" customFormat="false" ht="15" hidden="false" customHeight="false" outlineLevel="0" collapsed="false">
      <c r="G276" s="13"/>
      <c r="I276" s="0" t="str">
        <f aca="false">IF(OR(H276="",E276="",D276=""),"",IF(H276=E276,"push",IF(D276="Over",IF(H276&gt;E276,1,0),IF(H276&lt;E276,1,0))))</f>
        <v/>
      </c>
      <c r="J276" s="0" t="str">
        <f aca="false">IF(AND(ISNUMBER(I276),G276&lt;&gt;""),(G276-I276)^2,"")</f>
        <v/>
      </c>
    </row>
    <row r="277" customFormat="false" ht="15" hidden="false" customHeight="false" outlineLevel="0" collapsed="false">
      <c r="G277" s="13"/>
      <c r="I277" s="0" t="str">
        <f aca="false">IF(OR(H277="",E277="",D277=""),"",IF(H277=E277,"push",IF(D277="Over",IF(H277&gt;E277,1,0),IF(H277&lt;E277,1,0))))</f>
        <v/>
      </c>
      <c r="J277" s="0" t="str">
        <f aca="false">IF(AND(ISNUMBER(I277),G277&lt;&gt;""),(G277-I277)^2,"")</f>
        <v/>
      </c>
    </row>
    <row r="278" customFormat="false" ht="15" hidden="false" customHeight="false" outlineLevel="0" collapsed="false">
      <c r="G278" s="13"/>
      <c r="I278" s="0" t="str">
        <f aca="false">IF(OR(H278="",E278="",D278=""),"",IF(H278=E278,"push",IF(D278="Over",IF(H278&gt;E278,1,0),IF(H278&lt;E278,1,0))))</f>
        <v/>
      </c>
      <c r="J278" s="0" t="str">
        <f aca="false">IF(AND(ISNUMBER(I278),G278&lt;&gt;""),(G278-I278)^2,"")</f>
        <v/>
      </c>
    </row>
    <row r="279" customFormat="false" ht="15" hidden="false" customHeight="false" outlineLevel="0" collapsed="false">
      <c r="G279" s="13"/>
      <c r="I279" s="0" t="str">
        <f aca="false">IF(OR(H279="",E279="",D279=""),"",IF(H279=E279,"push",IF(D279="Over",IF(H279&gt;E279,1,0),IF(H279&lt;E279,1,0))))</f>
        <v/>
      </c>
      <c r="J279" s="0" t="str">
        <f aca="false">IF(AND(ISNUMBER(I279),G279&lt;&gt;""),(G279-I279)^2,"")</f>
        <v/>
      </c>
    </row>
    <row r="280" customFormat="false" ht="15" hidden="false" customHeight="false" outlineLevel="0" collapsed="false">
      <c r="G280" s="13"/>
      <c r="I280" s="0" t="str">
        <f aca="false">IF(OR(H280="",E280="",D280=""),"",IF(H280=E280,"push",IF(D280="Over",IF(H280&gt;E280,1,0),IF(H280&lt;E280,1,0))))</f>
        <v/>
      </c>
      <c r="J280" s="0" t="str">
        <f aca="false">IF(AND(ISNUMBER(I280),G280&lt;&gt;""),(G280-I280)^2,"")</f>
        <v/>
      </c>
    </row>
    <row r="281" customFormat="false" ht="15" hidden="false" customHeight="false" outlineLevel="0" collapsed="false">
      <c r="G281" s="13"/>
      <c r="I281" s="0" t="str">
        <f aca="false">IF(OR(H281="",E281="",D281=""),"",IF(H281=E281,"push",IF(D281="Over",IF(H281&gt;E281,1,0),IF(H281&lt;E281,1,0))))</f>
        <v/>
      </c>
      <c r="J281" s="0" t="str">
        <f aca="false">IF(AND(ISNUMBER(I281),G281&lt;&gt;""),(G281-I281)^2,"")</f>
        <v/>
      </c>
    </row>
    <row r="282" customFormat="false" ht="15" hidden="false" customHeight="false" outlineLevel="0" collapsed="false">
      <c r="G282" s="13"/>
      <c r="I282" s="0" t="str">
        <f aca="false">IF(OR(H282="",E282="",D282=""),"",IF(H282=E282,"push",IF(D282="Over",IF(H282&gt;E282,1,0),IF(H282&lt;E282,1,0))))</f>
        <v/>
      </c>
      <c r="J282" s="0" t="str">
        <f aca="false">IF(AND(ISNUMBER(I282),G282&lt;&gt;""),(G282-I282)^2,"")</f>
        <v/>
      </c>
    </row>
    <row r="283" customFormat="false" ht="15" hidden="false" customHeight="false" outlineLevel="0" collapsed="false">
      <c r="G283" s="13"/>
      <c r="I283" s="0" t="str">
        <f aca="false">IF(OR(H283="",E283="",D283=""),"",IF(H283=E283,"push",IF(D283="Over",IF(H283&gt;E283,1,0),IF(H283&lt;E283,1,0))))</f>
        <v/>
      </c>
      <c r="J283" s="0" t="str">
        <f aca="false">IF(AND(ISNUMBER(I283),G283&lt;&gt;""),(G283-I283)^2,"")</f>
        <v/>
      </c>
    </row>
    <row r="284" customFormat="false" ht="15" hidden="false" customHeight="false" outlineLevel="0" collapsed="false">
      <c r="G284" s="13"/>
      <c r="I284" s="0" t="str">
        <f aca="false">IF(OR(H284="",E284="",D284=""),"",IF(H284=E284,"push",IF(D284="Over",IF(H284&gt;E284,1,0),IF(H284&lt;E284,1,0))))</f>
        <v/>
      </c>
      <c r="J284" s="0" t="str">
        <f aca="false">IF(AND(ISNUMBER(I284),G284&lt;&gt;""),(G284-I284)^2,"")</f>
        <v/>
      </c>
    </row>
    <row r="285" customFormat="false" ht="15" hidden="false" customHeight="false" outlineLevel="0" collapsed="false">
      <c r="G285" s="13"/>
      <c r="I285" s="0" t="str">
        <f aca="false">IF(OR(H285="",E285="",D285=""),"",IF(H285=E285,"push",IF(D285="Over",IF(H285&gt;E285,1,0),IF(H285&lt;E285,1,0))))</f>
        <v/>
      </c>
      <c r="J285" s="0" t="str">
        <f aca="false">IF(AND(ISNUMBER(I285),G285&lt;&gt;""),(G285-I285)^2,"")</f>
        <v/>
      </c>
    </row>
    <row r="286" customFormat="false" ht="15" hidden="false" customHeight="false" outlineLevel="0" collapsed="false">
      <c r="G286" s="13"/>
      <c r="I286" s="0" t="str">
        <f aca="false">IF(OR(H286="",E286="",D286=""),"",IF(H286=E286,"push",IF(D286="Over",IF(H286&gt;E286,1,0),IF(H286&lt;E286,1,0))))</f>
        <v/>
      </c>
      <c r="J286" s="0" t="str">
        <f aca="false">IF(AND(ISNUMBER(I286),G286&lt;&gt;""),(G286-I286)^2,"")</f>
        <v/>
      </c>
    </row>
    <row r="287" customFormat="false" ht="15" hidden="false" customHeight="false" outlineLevel="0" collapsed="false">
      <c r="G287" s="13"/>
      <c r="I287" s="0" t="str">
        <f aca="false">IF(OR(H287="",E287="",D287=""),"",IF(H287=E287,"push",IF(D287="Over",IF(H287&gt;E287,1,0),IF(H287&lt;E287,1,0))))</f>
        <v/>
      </c>
      <c r="J287" s="0" t="str">
        <f aca="false">IF(AND(ISNUMBER(I287),G287&lt;&gt;""),(G287-I287)^2,"")</f>
        <v/>
      </c>
    </row>
    <row r="288" customFormat="false" ht="15" hidden="false" customHeight="false" outlineLevel="0" collapsed="false">
      <c r="G288" s="13"/>
      <c r="I288" s="0" t="str">
        <f aca="false">IF(OR(H288="",E288="",D288=""),"",IF(H288=E288,"push",IF(D288="Over",IF(H288&gt;E288,1,0),IF(H288&lt;E288,1,0))))</f>
        <v/>
      </c>
      <c r="J288" s="0" t="str">
        <f aca="false">IF(AND(ISNUMBER(I288),G288&lt;&gt;""),(G288-I288)^2,"")</f>
        <v/>
      </c>
    </row>
    <row r="289" customFormat="false" ht="15" hidden="false" customHeight="false" outlineLevel="0" collapsed="false">
      <c r="G289" s="13"/>
      <c r="I289" s="0" t="str">
        <f aca="false">IF(OR(H289="",E289="",D289=""),"",IF(H289=E289,"push",IF(D289="Over",IF(H289&gt;E289,1,0),IF(H289&lt;E289,1,0))))</f>
        <v/>
      </c>
      <c r="J289" s="0" t="str">
        <f aca="false">IF(AND(ISNUMBER(I289),G289&lt;&gt;""),(G289-I289)^2,"")</f>
        <v/>
      </c>
    </row>
    <row r="290" customFormat="false" ht="15" hidden="false" customHeight="false" outlineLevel="0" collapsed="false">
      <c r="G290" s="13"/>
      <c r="I290" s="0" t="str">
        <f aca="false">IF(OR(H290="",E290="",D290=""),"",IF(H290=E290,"push",IF(D290="Over",IF(H290&gt;E290,1,0),IF(H290&lt;E290,1,0))))</f>
        <v/>
      </c>
      <c r="J290" s="0" t="str">
        <f aca="false">IF(AND(ISNUMBER(I290),G290&lt;&gt;""),(G290-I290)^2,"")</f>
        <v/>
      </c>
    </row>
    <row r="291" customFormat="false" ht="15" hidden="false" customHeight="false" outlineLevel="0" collapsed="false">
      <c r="G291" s="13"/>
      <c r="I291" s="0" t="str">
        <f aca="false">IF(OR(H291="",E291="",D291=""),"",IF(H291=E291,"push",IF(D291="Over",IF(H291&gt;E291,1,0),IF(H291&lt;E291,1,0))))</f>
        <v/>
      </c>
      <c r="J291" s="0" t="str">
        <f aca="false">IF(AND(ISNUMBER(I291),G291&lt;&gt;""),(G291-I291)^2,"")</f>
        <v/>
      </c>
    </row>
    <row r="292" customFormat="false" ht="15" hidden="false" customHeight="false" outlineLevel="0" collapsed="false">
      <c r="G292" s="13"/>
      <c r="I292" s="0" t="str">
        <f aca="false">IF(OR(H292="",E292="",D292=""),"",IF(H292=E292,"push",IF(D292="Over",IF(H292&gt;E292,1,0),IF(H292&lt;E292,1,0))))</f>
        <v/>
      </c>
      <c r="J292" s="0" t="str">
        <f aca="false">IF(AND(ISNUMBER(I292),G292&lt;&gt;""),(G292-I292)^2,"")</f>
        <v/>
      </c>
    </row>
    <row r="293" customFormat="false" ht="15" hidden="false" customHeight="false" outlineLevel="0" collapsed="false">
      <c r="G293" s="13"/>
      <c r="I293" s="0" t="str">
        <f aca="false">IF(OR(H293="",E293="",D293=""),"",IF(H293=E293,"push",IF(D293="Over",IF(H293&gt;E293,1,0),IF(H293&lt;E293,1,0))))</f>
        <v/>
      </c>
      <c r="J293" s="0" t="str">
        <f aca="false">IF(AND(ISNUMBER(I293),G293&lt;&gt;""),(G293-I293)^2,"")</f>
        <v/>
      </c>
    </row>
    <row r="294" customFormat="false" ht="15" hidden="false" customHeight="false" outlineLevel="0" collapsed="false">
      <c r="G294" s="13"/>
      <c r="I294" s="0" t="str">
        <f aca="false">IF(OR(H294="",E294="",D294=""),"",IF(H294=E294,"push",IF(D294="Over",IF(H294&gt;E294,1,0),IF(H294&lt;E294,1,0))))</f>
        <v/>
      </c>
      <c r="J294" s="0" t="str">
        <f aca="false">IF(AND(ISNUMBER(I294),G294&lt;&gt;""),(G294-I294)^2,"")</f>
        <v/>
      </c>
    </row>
    <row r="295" customFormat="false" ht="15" hidden="false" customHeight="false" outlineLevel="0" collapsed="false">
      <c r="G295" s="13"/>
      <c r="I295" s="0" t="str">
        <f aca="false">IF(OR(H295="",E295="",D295=""),"",IF(H295=E295,"push",IF(D295="Over",IF(H295&gt;E295,1,0),IF(H295&lt;E295,1,0))))</f>
        <v/>
      </c>
      <c r="J295" s="0" t="str">
        <f aca="false">IF(AND(ISNUMBER(I295),G295&lt;&gt;""),(G295-I295)^2,"")</f>
        <v/>
      </c>
    </row>
    <row r="296" customFormat="false" ht="15" hidden="false" customHeight="false" outlineLevel="0" collapsed="false">
      <c r="G296" s="13"/>
      <c r="I296" s="0" t="str">
        <f aca="false">IF(OR(H296="",E296="",D296=""),"",IF(H296=E296,"push",IF(D296="Over",IF(H296&gt;E296,1,0),IF(H296&lt;E296,1,0))))</f>
        <v/>
      </c>
      <c r="J296" s="0" t="str">
        <f aca="false">IF(AND(ISNUMBER(I296),G296&lt;&gt;""),(G296-I296)^2,"")</f>
        <v/>
      </c>
    </row>
    <row r="297" customFormat="false" ht="15" hidden="false" customHeight="false" outlineLevel="0" collapsed="false">
      <c r="G297" s="13"/>
      <c r="I297" s="0" t="str">
        <f aca="false">IF(OR(H297="",E297="",D297=""),"",IF(H297=E297,"push",IF(D297="Over",IF(H297&gt;E297,1,0),IF(H297&lt;E297,1,0))))</f>
        <v/>
      </c>
      <c r="J297" s="0" t="str">
        <f aca="false">IF(AND(ISNUMBER(I297),G297&lt;&gt;""),(G297-I297)^2,"")</f>
        <v/>
      </c>
    </row>
    <row r="298" customFormat="false" ht="15" hidden="false" customHeight="false" outlineLevel="0" collapsed="false">
      <c r="G298" s="13"/>
      <c r="I298" s="0" t="str">
        <f aca="false">IF(OR(H298="",E298="",D298=""),"",IF(H298=E298,"push",IF(D298="Over",IF(H298&gt;E298,1,0),IF(H298&lt;E298,1,0))))</f>
        <v/>
      </c>
      <c r="J298" s="0" t="str">
        <f aca="false">IF(AND(ISNUMBER(I298),G298&lt;&gt;""),(G298-I298)^2,"")</f>
        <v/>
      </c>
    </row>
    <row r="299" customFormat="false" ht="15" hidden="false" customHeight="false" outlineLevel="0" collapsed="false">
      <c r="G299" s="13"/>
      <c r="I299" s="0" t="str">
        <f aca="false">IF(OR(H299="",E299="",D299=""),"",IF(H299=E299,"push",IF(D299="Over",IF(H299&gt;E299,1,0),IF(H299&lt;E299,1,0))))</f>
        <v/>
      </c>
      <c r="J299" s="0" t="str">
        <f aca="false">IF(AND(ISNUMBER(I299),G299&lt;&gt;""),(G299-I299)^2,"")</f>
        <v/>
      </c>
    </row>
    <row r="300" customFormat="false" ht="15" hidden="false" customHeight="false" outlineLevel="0" collapsed="false">
      <c r="G300" s="13"/>
      <c r="I300" s="0" t="str">
        <f aca="false">IF(OR(H300="",E300="",D300=""),"",IF(H300=E300,"push",IF(D300="Over",IF(H300&gt;E300,1,0),IF(H300&lt;E300,1,0))))</f>
        <v/>
      </c>
      <c r="J300" s="0" t="str">
        <f aca="false">IF(AND(ISNUMBER(I300),G300&lt;&gt;""),(G300-I300)^2,"")</f>
        <v/>
      </c>
    </row>
    <row r="301" customFormat="false" ht="15" hidden="false" customHeight="false" outlineLevel="0" collapsed="false">
      <c r="G301" s="13"/>
      <c r="I301" s="0" t="str">
        <f aca="false">IF(OR(H301="",E301="",D301=""),"",IF(H301=E301,"push",IF(D301="Over",IF(H301&gt;E301,1,0),IF(H301&lt;E301,1,0))))</f>
        <v/>
      </c>
      <c r="J301" s="0" t="str">
        <f aca="false">IF(AND(ISNUMBER(I301),G301&lt;&gt;""),(G301-I301)^2,"")</f>
        <v/>
      </c>
    </row>
    <row r="302" customFormat="false" ht="15" hidden="false" customHeight="false" outlineLevel="0" collapsed="false">
      <c r="G302" s="13"/>
      <c r="I302" s="0" t="str">
        <f aca="false">IF(OR(H302="",E302="",D302=""),"",IF(H302=E302,"push",IF(D302="Over",IF(H302&gt;E302,1,0),IF(H302&lt;E302,1,0))))</f>
        <v/>
      </c>
      <c r="J302" s="0" t="str">
        <f aca="false">IF(AND(ISNUMBER(I302),G302&lt;&gt;""),(G302-I302)^2,"")</f>
        <v/>
      </c>
    </row>
    <row r="303" customFormat="false" ht="15" hidden="false" customHeight="false" outlineLevel="0" collapsed="false">
      <c r="G303" s="13"/>
      <c r="I303" s="0" t="str">
        <f aca="false">IF(OR(H303="",E303="",D303=""),"",IF(H303=E303,"push",IF(D303="Over",IF(H303&gt;E303,1,0),IF(H303&lt;E303,1,0))))</f>
        <v/>
      </c>
      <c r="J303" s="0" t="str">
        <f aca="false">IF(AND(ISNUMBER(I303),G303&lt;&gt;""),(G303-I303)^2,"")</f>
        <v/>
      </c>
    </row>
    <row r="304" customFormat="false" ht="15" hidden="false" customHeight="false" outlineLevel="0" collapsed="false">
      <c r="G304" s="13"/>
      <c r="I304" s="0" t="str">
        <f aca="false">IF(OR(H304="",E304="",D304=""),"",IF(H304=E304,"push",IF(D304="Over",IF(H304&gt;E304,1,0),IF(H304&lt;E304,1,0))))</f>
        <v/>
      </c>
      <c r="J304" s="0" t="str">
        <f aca="false">IF(AND(ISNUMBER(I304),G304&lt;&gt;""),(G304-I304)^2,"")</f>
        <v/>
      </c>
    </row>
    <row r="305" customFormat="false" ht="15" hidden="false" customHeight="false" outlineLevel="0" collapsed="false">
      <c r="G305" s="13"/>
      <c r="I305" s="0" t="str">
        <f aca="false">IF(OR(H305="",E305="",D305=""),"",IF(H305=E305,"push",IF(D305="Over",IF(H305&gt;E305,1,0),IF(H305&lt;E305,1,0))))</f>
        <v/>
      </c>
      <c r="J305" s="0" t="str">
        <f aca="false">IF(AND(ISNUMBER(I305),G305&lt;&gt;""),(G305-I305)^2,"")</f>
        <v/>
      </c>
    </row>
    <row r="306" customFormat="false" ht="15" hidden="false" customHeight="false" outlineLevel="0" collapsed="false">
      <c r="G306" s="13"/>
      <c r="I306" s="0" t="str">
        <f aca="false">IF(OR(H306="",E306="",D306=""),"",IF(H306=E306,"push",IF(D306="Over",IF(H306&gt;E306,1,0),IF(H306&lt;E306,1,0))))</f>
        <v/>
      </c>
      <c r="J306" s="0" t="str">
        <f aca="false">IF(AND(ISNUMBER(I306),G306&lt;&gt;""),(G306-I306)^2,"")</f>
        <v/>
      </c>
    </row>
    <row r="307" customFormat="false" ht="15" hidden="false" customHeight="false" outlineLevel="0" collapsed="false">
      <c r="G307" s="13"/>
      <c r="I307" s="0" t="str">
        <f aca="false">IF(OR(H307="",E307="",D307=""),"",IF(H307=E307,"push",IF(D307="Over",IF(H307&gt;E307,1,0),IF(H307&lt;E307,1,0))))</f>
        <v/>
      </c>
      <c r="J307" s="0" t="str">
        <f aca="false">IF(AND(ISNUMBER(I307),G307&lt;&gt;""),(G307-I307)^2,"")</f>
        <v/>
      </c>
    </row>
    <row r="308" customFormat="false" ht="15" hidden="false" customHeight="false" outlineLevel="0" collapsed="false">
      <c r="G308" s="13"/>
      <c r="I308" s="0" t="str">
        <f aca="false">IF(OR(H308="",E308="",D308=""),"",IF(H308=E308,"push",IF(D308="Over",IF(H308&gt;E308,1,0),IF(H308&lt;E308,1,0))))</f>
        <v/>
      </c>
      <c r="J308" s="0" t="str">
        <f aca="false">IF(AND(ISNUMBER(I308),G308&lt;&gt;""),(G308-I308)^2,"")</f>
        <v/>
      </c>
    </row>
    <row r="309" customFormat="false" ht="15" hidden="false" customHeight="false" outlineLevel="0" collapsed="false">
      <c r="G309" s="13"/>
      <c r="I309" s="0" t="str">
        <f aca="false">IF(OR(H309="",E309="",D309=""),"",IF(H309=E309,"push",IF(D309="Over",IF(H309&gt;E309,1,0),IF(H309&lt;E309,1,0))))</f>
        <v/>
      </c>
      <c r="J309" s="0" t="str">
        <f aca="false">IF(AND(ISNUMBER(I309),G309&lt;&gt;""),(G309-I309)^2,"")</f>
        <v/>
      </c>
    </row>
    <row r="310" customFormat="false" ht="15" hidden="false" customHeight="false" outlineLevel="0" collapsed="false">
      <c r="G310" s="13"/>
      <c r="I310" s="0" t="str">
        <f aca="false">IF(OR(H310="",E310="",D310=""),"",IF(H310=E310,"push",IF(D310="Over",IF(H310&gt;E310,1,0),IF(H310&lt;E310,1,0))))</f>
        <v/>
      </c>
      <c r="J310" s="0" t="str">
        <f aca="false">IF(AND(ISNUMBER(I310),G310&lt;&gt;""),(G310-I310)^2,"")</f>
        <v/>
      </c>
    </row>
    <row r="311" customFormat="false" ht="15" hidden="false" customHeight="false" outlineLevel="0" collapsed="false">
      <c r="G311" s="13"/>
      <c r="I311" s="0" t="str">
        <f aca="false">IF(OR(H311="",E311="",D311=""),"",IF(H311=E311,"push",IF(D311="Over",IF(H311&gt;E311,1,0),IF(H311&lt;E311,1,0))))</f>
        <v/>
      </c>
      <c r="J311" s="0" t="str">
        <f aca="false">IF(AND(ISNUMBER(I311),G311&lt;&gt;""),(G311-I311)^2,"")</f>
        <v/>
      </c>
    </row>
    <row r="312" customFormat="false" ht="15" hidden="false" customHeight="false" outlineLevel="0" collapsed="false">
      <c r="G312" s="13"/>
      <c r="I312" s="0" t="str">
        <f aca="false">IF(OR(H312="",E312="",D312=""),"",IF(H312=E312,"push",IF(D312="Over",IF(H312&gt;E312,1,0),IF(H312&lt;E312,1,0))))</f>
        <v/>
      </c>
      <c r="J312" s="0" t="str">
        <f aca="false">IF(AND(ISNUMBER(I312),G312&lt;&gt;""),(G312-I312)^2,"")</f>
        <v/>
      </c>
    </row>
    <row r="313" customFormat="false" ht="15" hidden="false" customHeight="false" outlineLevel="0" collapsed="false">
      <c r="G313" s="13"/>
      <c r="I313" s="0" t="str">
        <f aca="false">IF(OR(H313="",E313="",D313=""),"",IF(H313=E313,"push",IF(D313="Over",IF(H313&gt;E313,1,0),IF(H313&lt;E313,1,0))))</f>
        <v/>
      </c>
      <c r="J313" s="0" t="str">
        <f aca="false">IF(AND(ISNUMBER(I313),G313&lt;&gt;""),(G313-I313)^2,"")</f>
        <v/>
      </c>
    </row>
    <row r="314" customFormat="false" ht="15" hidden="false" customHeight="false" outlineLevel="0" collapsed="false">
      <c r="G314" s="13"/>
      <c r="I314" s="0" t="str">
        <f aca="false">IF(OR(H314="",E314="",D314=""),"",IF(H314=E314,"push",IF(D314="Over",IF(H314&gt;E314,1,0),IF(H314&lt;E314,1,0))))</f>
        <v/>
      </c>
      <c r="J314" s="0" t="str">
        <f aca="false">IF(AND(ISNUMBER(I314),G314&lt;&gt;""),(G314-I314)^2,"")</f>
        <v/>
      </c>
    </row>
    <row r="315" customFormat="false" ht="15" hidden="false" customHeight="false" outlineLevel="0" collapsed="false">
      <c r="G315" s="13"/>
      <c r="I315" s="0" t="str">
        <f aca="false">IF(OR(H315="",E315="",D315=""),"",IF(H315=E315,"push",IF(D315="Over",IF(H315&gt;E315,1,0),IF(H315&lt;E315,1,0))))</f>
        <v/>
      </c>
      <c r="J315" s="0" t="str">
        <f aca="false">IF(AND(ISNUMBER(I315),G315&lt;&gt;""),(G315-I315)^2,"")</f>
        <v/>
      </c>
    </row>
    <row r="316" customFormat="false" ht="15" hidden="false" customHeight="false" outlineLevel="0" collapsed="false">
      <c r="G316" s="13"/>
      <c r="I316" s="0" t="str">
        <f aca="false">IF(OR(H316="",E316="",D316=""),"",IF(H316=E316,"push",IF(D316="Over",IF(H316&gt;E316,1,0),IF(H316&lt;E316,1,0))))</f>
        <v/>
      </c>
      <c r="J316" s="0" t="str">
        <f aca="false">IF(AND(ISNUMBER(I316),G316&lt;&gt;""),(G316-I316)^2,"")</f>
        <v/>
      </c>
    </row>
    <row r="317" customFormat="false" ht="15" hidden="false" customHeight="false" outlineLevel="0" collapsed="false">
      <c r="G317" s="13"/>
      <c r="I317" s="0" t="str">
        <f aca="false">IF(OR(H317="",E317="",D317=""),"",IF(H317=E317,"push",IF(D317="Over",IF(H317&gt;E317,1,0),IF(H317&lt;E317,1,0))))</f>
        <v/>
      </c>
      <c r="J317" s="0" t="str">
        <f aca="false">IF(AND(ISNUMBER(I317),G317&lt;&gt;""),(G317-I317)^2,"")</f>
        <v/>
      </c>
    </row>
    <row r="318" customFormat="false" ht="15" hidden="false" customHeight="false" outlineLevel="0" collapsed="false">
      <c r="G318" s="13"/>
      <c r="I318" s="0" t="str">
        <f aca="false">IF(OR(H318="",E318="",D318=""),"",IF(H318=E318,"push",IF(D318="Over",IF(H318&gt;E318,1,0),IF(H318&lt;E318,1,0))))</f>
        <v/>
      </c>
      <c r="J318" s="0" t="str">
        <f aca="false">IF(AND(ISNUMBER(I318),G318&lt;&gt;""),(G318-I318)^2,"")</f>
        <v/>
      </c>
    </row>
    <row r="319" customFormat="false" ht="15" hidden="false" customHeight="false" outlineLevel="0" collapsed="false">
      <c r="G319" s="13"/>
      <c r="I319" s="0" t="str">
        <f aca="false">IF(OR(H319="",E319="",D319=""),"",IF(H319=E319,"push",IF(D319="Over",IF(H319&gt;E319,1,0),IF(H319&lt;E319,1,0))))</f>
        <v/>
      </c>
      <c r="J319" s="0" t="str">
        <f aca="false">IF(AND(ISNUMBER(I319),G319&lt;&gt;""),(G319-I319)^2,"")</f>
        <v/>
      </c>
    </row>
    <row r="320" customFormat="false" ht="15" hidden="false" customHeight="false" outlineLevel="0" collapsed="false">
      <c r="G320" s="13"/>
      <c r="I320" s="0" t="str">
        <f aca="false">IF(OR(H320="",E320="",D320=""),"",IF(H320=E320,"push",IF(D320="Over",IF(H320&gt;E320,1,0),IF(H320&lt;E320,1,0))))</f>
        <v/>
      </c>
      <c r="J320" s="0" t="str">
        <f aca="false">IF(AND(ISNUMBER(I320),G320&lt;&gt;""),(G320-I320)^2,"")</f>
        <v/>
      </c>
    </row>
    <row r="321" customFormat="false" ht="15" hidden="false" customHeight="false" outlineLevel="0" collapsed="false">
      <c r="G321" s="13"/>
      <c r="I321" s="0" t="str">
        <f aca="false">IF(OR(H321="",E321="",D321=""),"",IF(H321=E321,"push",IF(D321="Over",IF(H321&gt;E321,1,0),IF(H321&lt;E321,1,0))))</f>
        <v/>
      </c>
      <c r="J321" s="0" t="str">
        <f aca="false">IF(AND(ISNUMBER(I321),G321&lt;&gt;""),(G321-I321)^2,"")</f>
        <v/>
      </c>
    </row>
    <row r="322" customFormat="false" ht="15" hidden="false" customHeight="false" outlineLevel="0" collapsed="false">
      <c r="G322" s="13"/>
      <c r="I322" s="0" t="str">
        <f aca="false">IF(OR(H322="",E322="",D322=""),"",IF(H322=E322,"push",IF(D322="Over",IF(H322&gt;E322,1,0),IF(H322&lt;E322,1,0))))</f>
        <v/>
      </c>
      <c r="J322" s="0" t="str">
        <f aca="false">IF(AND(ISNUMBER(I322),G322&lt;&gt;""),(G322-I322)^2,"")</f>
        <v/>
      </c>
    </row>
    <row r="323" customFormat="false" ht="15" hidden="false" customHeight="false" outlineLevel="0" collapsed="false">
      <c r="G323" s="13"/>
      <c r="I323" s="0" t="str">
        <f aca="false">IF(OR(H323="",E323="",D323=""),"",IF(H323=E323,"push",IF(D323="Over",IF(H323&gt;E323,1,0),IF(H323&lt;E323,1,0))))</f>
        <v/>
      </c>
      <c r="J323" s="0" t="str">
        <f aca="false">IF(AND(ISNUMBER(I323),G323&lt;&gt;""),(G323-I323)^2,"")</f>
        <v/>
      </c>
    </row>
    <row r="324" customFormat="false" ht="15" hidden="false" customHeight="false" outlineLevel="0" collapsed="false">
      <c r="G324" s="13"/>
      <c r="I324" s="0" t="str">
        <f aca="false">IF(OR(H324="",E324="",D324=""),"",IF(H324=E324,"push",IF(D324="Over",IF(H324&gt;E324,1,0),IF(H324&lt;E324,1,0))))</f>
        <v/>
      </c>
      <c r="J324" s="0" t="str">
        <f aca="false">IF(AND(ISNUMBER(I324),G324&lt;&gt;""),(G324-I324)^2,"")</f>
        <v/>
      </c>
    </row>
    <row r="325" customFormat="false" ht="15" hidden="false" customHeight="false" outlineLevel="0" collapsed="false">
      <c r="G325" s="13"/>
      <c r="I325" s="0" t="str">
        <f aca="false">IF(OR(H325="",E325="",D325=""),"",IF(H325=E325,"push",IF(D325="Over",IF(H325&gt;E325,1,0),IF(H325&lt;E325,1,0))))</f>
        <v/>
      </c>
      <c r="J325" s="0" t="str">
        <f aca="false">IF(AND(ISNUMBER(I325),G325&lt;&gt;""),(G325-I325)^2,"")</f>
        <v/>
      </c>
    </row>
    <row r="326" customFormat="false" ht="15" hidden="false" customHeight="false" outlineLevel="0" collapsed="false">
      <c r="G326" s="13"/>
      <c r="I326" s="0" t="str">
        <f aca="false">IF(OR(H326="",E326="",D326=""),"",IF(H326=E326,"push",IF(D326="Over",IF(H326&gt;E326,1,0),IF(H326&lt;E326,1,0))))</f>
        <v/>
      </c>
      <c r="J326" s="0" t="str">
        <f aca="false">IF(AND(ISNUMBER(I326),G326&lt;&gt;""),(G326-I326)^2,"")</f>
        <v/>
      </c>
    </row>
    <row r="327" customFormat="false" ht="15" hidden="false" customHeight="false" outlineLevel="0" collapsed="false">
      <c r="G327" s="13"/>
      <c r="I327" s="0" t="str">
        <f aca="false">IF(OR(H327="",E327="",D327=""),"",IF(H327=E327,"push",IF(D327="Over",IF(H327&gt;E327,1,0),IF(H327&lt;E327,1,0))))</f>
        <v/>
      </c>
      <c r="J327" s="0" t="str">
        <f aca="false">IF(AND(ISNUMBER(I327),G327&lt;&gt;""),(G327-I327)^2,"")</f>
        <v/>
      </c>
    </row>
    <row r="328" customFormat="false" ht="15" hidden="false" customHeight="false" outlineLevel="0" collapsed="false">
      <c r="G328" s="13"/>
      <c r="I328" s="0" t="str">
        <f aca="false">IF(OR(H328="",E328="",D328=""),"",IF(H328=E328,"push",IF(D328="Over",IF(H328&gt;E328,1,0),IF(H328&lt;E328,1,0))))</f>
        <v/>
      </c>
      <c r="J328" s="0" t="str">
        <f aca="false">IF(AND(ISNUMBER(I328),G328&lt;&gt;""),(G328-I328)^2,"")</f>
        <v/>
      </c>
    </row>
    <row r="329" customFormat="false" ht="15" hidden="false" customHeight="false" outlineLevel="0" collapsed="false">
      <c r="G329" s="13"/>
      <c r="I329" s="0" t="str">
        <f aca="false">IF(OR(H329="",E329="",D329=""),"",IF(H329=E329,"push",IF(D329="Over",IF(H329&gt;E329,1,0),IF(H329&lt;E329,1,0))))</f>
        <v/>
      </c>
      <c r="J329" s="0" t="str">
        <f aca="false">IF(AND(ISNUMBER(I329),G329&lt;&gt;""),(G329-I329)^2,"")</f>
        <v/>
      </c>
    </row>
    <row r="330" customFormat="false" ht="15" hidden="false" customHeight="false" outlineLevel="0" collapsed="false">
      <c r="G330" s="13"/>
      <c r="I330" s="0" t="str">
        <f aca="false">IF(OR(H330="",E330="",D330=""),"",IF(H330=E330,"push",IF(D330="Over",IF(H330&gt;E330,1,0),IF(H330&lt;E330,1,0))))</f>
        <v/>
      </c>
      <c r="J330" s="0" t="str">
        <f aca="false">IF(AND(ISNUMBER(I330),G330&lt;&gt;""),(G330-I330)^2,"")</f>
        <v/>
      </c>
    </row>
    <row r="331" customFormat="false" ht="15" hidden="false" customHeight="false" outlineLevel="0" collapsed="false">
      <c r="G331" s="13"/>
      <c r="I331" s="0" t="str">
        <f aca="false">IF(OR(H331="",E331="",D331=""),"",IF(H331=E331,"push",IF(D331="Over",IF(H331&gt;E331,1,0),IF(H331&lt;E331,1,0))))</f>
        <v/>
      </c>
      <c r="J331" s="0" t="str">
        <f aca="false">IF(AND(ISNUMBER(I331),G331&lt;&gt;""),(G331-I331)^2,"")</f>
        <v/>
      </c>
    </row>
    <row r="332" customFormat="false" ht="15" hidden="false" customHeight="false" outlineLevel="0" collapsed="false">
      <c r="G332" s="13"/>
      <c r="I332" s="0" t="str">
        <f aca="false">IF(OR(H332="",E332="",D332=""),"",IF(H332=E332,"push",IF(D332="Over",IF(H332&gt;E332,1,0),IF(H332&lt;E332,1,0))))</f>
        <v/>
      </c>
      <c r="J332" s="0" t="str">
        <f aca="false">IF(AND(ISNUMBER(I332),G332&lt;&gt;""),(G332-I332)^2,"")</f>
        <v/>
      </c>
    </row>
    <row r="333" customFormat="false" ht="15" hidden="false" customHeight="false" outlineLevel="0" collapsed="false">
      <c r="G333" s="13"/>
      <c r="I333" s="0" t="str">
        <f aca="false">IF(OR(H333="",E333="",D333=""),"",IF(H333=E333,"push",IF(D333="Over",IF(H333&gt;E333,1,0),IF(H333&lt;E333,1,0))))</f>
        <v/>
      </c>
      <c r="J333" s="0" t="str">
        <f aca="false">IF(AND(ISNUMBER(I333),G333&lt;&gt;""),(G333-I333)^2,"")</f>
        <v/>
      </c>
    </row>
    <row r="334" customFormat="false" ht="15" hidden="false" customHeight="false" outlineLevel="0" collapsed="false">
      <c r="G334" s="13"/>
      <c r="I334" s="0" t="str">
        <f aca="false">IF(OR(H334="",E334="",D334=""),"",IF(H334=E334,"push",IF(D334="Over",IF(H334&gt;E334,1,0),IF(H334&lt;E334,1,0))))</f>
        <v/>
      </c>
      <c r="J334" s="0" t="str">
        <f aca="false">IF(AND(ISNUMBER(I334),G334&lt;&gt;""),(G334-I334)^2,"")</f>
        <v/>
      </c>
    </row>
    <row r="335" customFormat="false" ht="15" hidden="false" customHeight="false" outlineLevel="0" collapsed="false">
      <c r="G335" s="13"/>
      <c r="I335" s="0" t="str">
        <f aca="false">IF(OR(H335="",E335="",D335=""),"",IF(H335=E335,"push",IF(D335="Over",IF(H335&gt;E335,1,0),IF(H335&lt;E335,1,0))))</f>
        <v/>
      </c>
      <c r="J335" s="0" t="str">
        <f aca="false">IF(AND(ISNUMBER(I335),G335&lt;&gt;""),(G335-I335)^2,"")</f>
        <v/>
      </c>
    </row>
    <row r="336" customFormat="false" ht="15" hidden="false" customHeight="false" outlineLevel="0" collapsed="false">
      <c r="G336" s="13"/>
      <c r="I336" s="0" t="str">
        <f aca="false">IF(OR(H336="",E336="",D336=""),"",IF(H336=E336,"push",IF(D336="Over",IF(H336&gt;E336,1,0),IF(H336&lt;E336,1,0))))</f>
        <v/>
      </c>
      <c r="J336" s="0" t="str">
        <f aca="false">IF(AND(ISNUMBER(I336),G336&lt;&gt;""),(G336-I336)^2,"")</f>
        <v/>
      </c>
    </row>
    <row r="337" customFormat="false" ht="15" hidden="false" customHeight="false" outlineLevel="0" collapsed="false">
      <c r="G337" s="13"/>
      <c r="I337" s="0" t="str">
        <f aca="false">IF(OR(H337="",E337="",D337=""),"",IF(H337=E337,"push",IF(D337="Over",IF(H337&gt;E337,1,0),IF(H337&lt;E337,1,0))))</f>
        <v/>
      </c>
      <c r="J337" s="0" t="str">
        <f aca="false">IF(AND(ISNUMBER(I337),G337&lt;&gt;""),(G337-I337)^2,"")</f>
        <v/>
      </c>
    </row>
    <row r="338" customFormat="false" ht="15" hidden="false" customHeight="false" outlineLevel="0" collapsed="false">
      <c r="G338" s="13"/>
      <c r="I338" s="0" t="str">
        <f aca="false">IF(OR(H338="",E338="",D338=""),"",IF(H338=E338,"push",IF(D338="Over",IF(H338&gt;E338,1,0),IF(H338&lt;E338,1,0))))</f>
        <v/>
      </c>
      <c r="J338" s="0" t="str">
        <f aca="false">IF(AND(ISNUMBER(I338),G338&lt;&gt;""),(G338-I338)^2,"")</f>
        <v/>
      </c>
    </row>
    <row r="339" customFormat="false" ht="15" hidden="false" customHeight="false" outlineLevel="0" collapsed="false">
      <c r="G339" s="13"/>
      <c r="I339" s="0" t="str">
        <f aca="false">IF(OR(H339="",E339="",D339=""),"",IF(H339=E339,"push",IF(D339="Over",IF(H339&gt;E339,1,0),IF(H339&lt;E339,1,0))))</f>
        <v/>
      </c>
      <c r="J339" s="0" t="str">
        <f aca="false">IF(AND(ISNUMBER(I339),G339&lt;&gt;""),(G339-I339)^2,"")</f>
        <v/>
      </c>
    </row>
    <row r="340" customFormat="false" ht="15" hidden="false" customHeight="false" outlineLevel="0" collapsed="false">
      <c r="G340" s="13"/>
      <c r="I340" s="0" t="str">
        <f aca="false">IF(OR(H340="",E340="",D340=""),"",IF(H340=E340,"push",IF(D340="Over",IF(H340&gt;E340,1,0),IF(H340&lt;E340,1,0))))</f>
        <v/>
      </c>
      <c r="J340" s="0" t="str">
        <f aca="false">IF(AND(ISNUMBER(I340),G340&lt;&gt;""),(G340-I340)^2,"")</f>
        <v/>
      </c>
    </row>
    <row r="341" customFormat="false" ht="15" hidden="false" customHeight="false" outlineLevel="0" collapsed="false">
      <c r="G341" s="13"/>
      <c r="I341" s="0" t="str">
        <f aca="false">IF(OR(H341="",E341="",D341=""),"",IF(H341=E341,"push",IF(D341="Over",IF(H341&gt;E341,1,0),IF(H341&lt;E341,1,0))))</f>
        <v/>
      </c>
      <c r="J341" s="0" t="str">
        <f aca="false">IF(AND(ISNUMBER(I341),G341&lt;&gt;""),(G341-I341)^2,"")</f>
        <v/>
      </c>
    </row>
    <row r="342" customFormat="false" ht="15" hidden="false" customHeight="false" outlineLevel="0" collapsed="false">
      <c r="G342" s="13"/>
      <c r="I342" s="0" t="str">
        <f aca="false">IF(OR(H342="",E342="",D342=""),"",IF(H342=E342,"push",IF(D342="Over",IF(H342&gt;E342,1,0),IF(H342&lt;E342,1,0))))</f>
        <v/>
      </c>
      <c r="J342" s="0" t="str">
        <f aca="false">IF(AND(ISNUMBER(I342),G342&lt;&gt;""),(G342-I342)^2,"")</f>
        <v/>
      </c>
    </row>
    <row r="343" customFormat="false" ht="15" hidden="false" customHeight="false" outlineLevel="0" collapsed="false">
      <c r="G343" s="13"/>
      <c r="I343" s="0" t="str">
        <f aca="false">IF(OR(H343="",E343="",D343=""),"",IF(H343=E343,"push",IF(D343="Over",IF(H343&gt;E343,1,0),IF(H343&lt;E343,1,0))))</f>
        <v/>
      </c>
      <c r="J343" s="0" t="str">
        <f aca="false">IF(AND(ISNUMBER(I343),G343&lt;&gt;""),(G343-I343)^2,"")</f>
        <v/>
      </c>
    </row>
    <row r="344" customFormat="false" ht="15" hidden="false" customHeight="false" outlineLevel="0" collapsed="false">
      <c r="G344" s="13"/>
      <c r="I344" s="0" t="str">
        <f aca="false">IF(OR(H344="",E344="",D344=""),"",IF(H344=E344,"push",IF(D344="Over",IF(H344&gt;E344,1,0),IF(H344&lt;E344,1,0))))</f>
        <v/>
      </c>
      <c r="J344" s="0" t="str">
        <f aca="false">IF(AND(ISNUMBER(I344),G344&lt;&gt;""),(G344-I344)^2,"")</f>
        <v/>
      </c>
    </row>
    <row r="345" customFormat="false" ht="15" hidden="false" customHeight="false" outlineLevel="0" collapsed="false">
      <c r="G345" s="13"/>
      <c r="I345" s="0" t="str">
        <f aca="false">IF(OR(H345="",E345="",D345=""),"",IF(H345=E345,"push",IF(D345="Over",IF(H345&gt;E345,1,0),IF(H345&lt;E345,1,0))))</f>
        <v/>
      </c>
      <c r="J345" s="0" t="str">
        <f aca="false">IF(AND(ISNUMBER(I345),G345&lt;&gt;""),(G345-I345)^2,"")</f>
        <v/>
      </c>
    </row>
    <row r="346" customFormat="false" ht="15" hidden="false" customHeight="false" outlineLevel="0" collapsed="false">
      <c r="G346" s="13"/>
      <c r="I346" s="0" t="str">
        <f aca="false">IF(OR(H346="",E346="",D346=""),"",IF(H346=E346,"push",IF(D346="Over",IF(H346&gt;E346,1,0),IF(H346&lt;E346,1,0))))</f>
        <v/>
      </c>
      <c r="J346" s="0" t="str">
        <f aca="false">IF(AND(ISNUMBER(I346),G346&lt;&gt;""),(G346-I346)^2,"")</f>
        <v/>
      </c>
    </row>
    <row r="347" customFormat="false" ht="15" hidden="false" customHeight="false" outlineLevel="0" collapsed="false">
      <c r="G347" s="13"/>
      <c r="I347" s="0" t="str">
        <f aca="false">IF(OR(H347="",E347="",D347=""),"",IF(H347=E347,"push",IF(D347="Over",IF(H347&gt;E347,1,0),IF(H347&lt;E347,1,0))))</f>
        <v/>
      </c>
      <c r="J347" s="0" t="str">
        <f aca="false">IF(AND(ISNUMBER(I347),G347&lt;&gt;""),(G347-I347)^2,"")</f>
        <v/>
      </c>
    </row>
    <row r="348" customFormat="false" ht="15" hidden="false" customHeight="false" outlineLevel="0" collapsed="false">
      <c r="G348" s="13"/>
      <c r="I348" s="0" t="str">
        <f aca="false">IF(OR(H348="",E348="",D348=""),"",IF(H348=E348,"push",IF(D348="Over",IF(H348&gt;E348,1,0),IF(H348&lt;E348,1,0))))</f>
        <v/>
      </c>
      <c r="J348" s="0" t="str">
        <f aca="false">IF(AND(ISNUMBER(I348),G348&lt;&gt;""),(G348-I348)^2,"")</f>
        <v/>
      </c>
    </row>
    <row r="349" customFormat="false" ht="15" hidden="false" customHeight="false" outlineLevel="0" collapsed="false">
      <c r="G349" s="13"/>
      <c r="I349" s="0" t="str">
        <f aca="false">IF(OR(H349="",E349="",D349=""),"",IF(H349=E349,"push",IF(D349="Over",IF(H349&gt;E349,1,0),IF(H349&lt;E349,1,0))))</f>
        <v/>
      </c>
      <c r="J349" s="0" t="str">
        <f aca="false">IF(AND(ISNUMBER(I349),G349&lt;&gt;""),(G349-I349)^2,"")</f>
        <v/>
      </c>
    </row>
    <row r="350" customFormat="false" ht="15" hidden="false" customHeight="false" outlineLevel="0" collapsed="false">
      <c r="G350" s="13"/>
      <c r="I350" s="0" t="str">
        <f aca="false">IF(OR(H350="",E350="",D350=""),"",IF(H350=E350,"push",IF(D350="Over",IF(H350&gt;E350,1,0),IF(H350&lt;E350,1,0))))</f>
        <v/>
      </c>
      <c r="J350" s="0" t="str">
        <f aca="false">IF(AND(ISNUMBER(I350),G350&lt;&gt;""),(G350-I350)^2,"")</f>
        <v/>
      </c>
    </row>
    <row r="351" customFormat="false" ht="15" hidden="false" customHeight="false" outlineLevel="0" collapsed="false">
      <c r="G351" s="13"/>
      <c r="I351" s="0" t="str">
        <f aca="false">IF(OR(H351="",E351="",D351=""),"",IF(H351=E351,"push",IF(D351="Over",IF(H351&gt;E351,1,0),IF(H351&lt;E351,1,0))))</f>
        <v/>
      </c>
      <c r="J351" s="0" t="str">
        <f aca="false">IF(AND(ISNUMBER(I351),G351&lt;&gt;""),(G351-I351)^2,"")</f>
        <v/>
      </c>
    </row>
    <row r="352" customFormat="false" ht="15" hidden="false" customHeight="false" outlineLevel="0" collapsed="false">
      <c r="G352" s="13"/>
      <c r="I352" s="0" t="str">
        <f aca="false">IF(OR(H352="",E352="",D352=""),"",IF(H352=E352,"push",IF(D352="Over",IF(H352&gt;E352,1,0),IF(H352&lt;E352,1,0))))</f>
        <v/>
      </c>
      <c r="J352" s="0" t="str">
        <f aca="false">IF(AND(ISNUMBER(I352),G352&lt;&gt;""),(G352-I352)^2,"")</f>
        <v/>
      </c>
    </row>
    <row r="353" customFormat="false" ht="15" hidden="false" customHeight="false" outlineLevel="0" collapsed="false">
      <c r="G353" s="13"/>
      <c r="I353" s="0" t="str">
        <f aca="false">IF(OR(H353="",E353="",D353=""),"",IF(H353=E353,"push",IF(D353="Over",IF(H353&gt;E353,1,0),IF(H353&lt;E353,1,0))))</f>
        <v/>
      </c>
      <c r="J353" s="0" t="str">
        <f aca="false">IF(AND(ISNUMBER(I353),G353&lt;&gt;""),(G353-I353)^2,"")</f>
        <v/>
      </c>
    </row>
    <row r="354" customFormat="false" ht="15" hidden="false" customHeight="false" outlineLevel="0" collapsed="false">
      <c r="G354" s="13"/>
      <c r="I354" s="0" t="str">
        <f aca="false">IF(OR(H354="",E354="",D354=""),"",IF(H354=E354,"push",IF(D354="Over",IF(H354&gt;E354,1,0),IF(H354&lt;E354,1,0))))</f>
        <v/>
      </c>
      <c r="J354" s="0" t="str">
        <f aca="false">IF(AND(ISNUMBER(I354),G354&lt;&gt;""),(G354-I354)^2,"")</f>
        <v/>
      </c>
    </row>
    <row r="355" customFormat="false" ht="15" hidden="false" customHeight="false" outlineLevel="0" collapsed="false">
      <c r="G355" s="13"/>
      <c r="I355" s="0" t="str">
        <f aca="false">IF(OR(H355="",E355="",D355=""),"",IF(H355=E355,"push",IF(D355="Over",IF(H355&gt;E355,1,0),IF(H355&lt;E355,1,0))))</f>
        <v/>
      </c>
      <c r="J355" s="0" t="str">
        <f aca="false">IF(AND(ISNUMBER(I355),G355&lt;&gt;""),(G355-I355)^2,"")</f>
        <v/>
      </c>
    </row>
    <row r="356" customFormat="false" ht="15" hidden="false" customHeight="false" outlineLevel="0" collapsed="false">
      <c r="G356" s="13"/>
      <c r="I356" s="0" t="str">
        <f aca="false">IF(OR(H356="",E356="",D356=""),"",IF(H356=E356,"push",IF(D356="Over",IF(H356&gt;E356,1,0),IF(H356&lt;E356,1,0))))</f>
        <v/>
      </c>
      <c r="J356" s="0" t="str">
        <f aca="false">IF(AND(ISNUMBER(I356),G356&lt;&gt;""),(G356-I356)^2,"")</f>
        <v/>
      </c>
    </row>
    <row r="357" customFormat="false" ht="15" hidden="false" customHeight="false" outlineLevel="0" collapsed="false">
      <c r="G357" s="13"/>
      <c r="I357" s="0" t="str">
        <f aca="false">IF(OR(H357="",E357="",D357=""),"",IF(H357=E357,"push",IF(D357="Over",IF(H357&gt;E357,1,0),IF(H357&lt;E357,1,0))))</f>
        <v/>
      </c>
      <c r="J357" s="0" t="str">
        <f aca="false">IF(AND(ISNUMBER(I357),G357&lt;&gt;""),(G357-I357)^2,"")</f>
        <v/>
      </c>
    </row>
    <row r="358" customFormat="false" ht="15" hidden="false" customHeight="false" outlineLevel="0" collapsed="false">
      <c r="G358" s="13"/>
      <c r="I358" s="0" t="str">
        <f aca="false">IF(OR(H358="",E358="",D358=""),"",IF(H358=E358,"push",IF(D358="Over",IF(H358&gt;E358,1,0),IF(H358&lt;E358,1,0))))</f>
        <v/>
      </c>
      <c r="J358" s="0" t="str">
        <f aca="false">IF(AND(ISNUMBER(I358),G358&lt;&gt;""),(G358-I358)^2,"")</f>
        <v/>
      </c>
    </row>
    <row r="359" customFormat="false" ht="15" hidden="false" customHeight="false" outlineLevel="0" collapsed="false">
      <c r="G359" s="13"/>
      <c r="I359" s="0" t="str">
        <f aca="false">IF(OR(H359="",E359="",D359=""),"",IF(H359=E359,"push",IF(D359="Over",IF(H359&gt;E359,1,0),IF(H359&lt;E359,1,0))))</f>
        <v/>
      </c>
      <c r="J359" s="0" t="str">
        <f aca="false">IF(AND(ISNUMBER(I359),G359&lt;&gt;""),(G359-I359)^2,"")</f>
        <v/>
      </c>
    </row>
    <row r="360" customFormat="false" ht="15" hidden="false" customHeight="false" outlineLevel="0" collapsed="false">
      <c r="G360" s="13"/>
      <c r="I360" s="0" t="str">
        <f aca="false">IF(OR(H360="",E360="",D360=""),"",IF(H360=E360,"push",IF(D360="Over",IF(H360&gt;E360,1,0),IF(H360&lt;E360,1,0))))</f>
        <v/>
      </c>
      <c r="J360" s="0" t="str">
        <f aca="false">IF(AND(ISNUMBER(I360),G360&lt;&gt;""),(G360-I360)^2,"")</f>
        <v/>
      </c>
    </row>
    <row r="361" customFormat="false" ht="15" hidden="false" customHeight="false" outlineLevel="0" collapsed="false">
      <c r="G361" s="13"/>
      <c r="I361" s="0" t="str">
        <f aca="false">IF(OR(H361="",E361="",D361=""),"",IF(H361=E361,"push",IF(D361="Over",IF(H361&gt;E361,1,0),IF(H361&lt;E361,1,0))))</f>
        <v/>
      </c>
      <c r="J361" s="0" t="str">
        <f aca="false">IF(AND(ISNUMBER(I361),G361&lt;&gt;""),(G361-I361)^2,"")</f>
        <v/>
      </c>
    </row>
    <row r="362" customFormat="false" ht="15" hidden="false" customHeight="false" outlineLevel="0" collapsed="false">
      <c r="G362" s="13"/>
      <c r="I362" s="0" t="str">
        <f aca="false">IF(OR(H362="",E362="",D362=""),"",IF(H362=E362,"push",IF(D362="Over",IF(H362&gt;E362,1,0),IF(H362&lt;E362,1,0))))</f>
        <v/>
      </c>
      <c r="J362" s="0" t="str">
        <f aca="false">IF(AND(ISNUMBER(I362),G362&lt;&gt;""),(G362-I362)^2,"")</f>
        <v/>
      </c>
    </row>
    <row r="363" customFormat="false" ht="15" hidden="false" customHeight="false" outlineLevel="0" collapsed="false">
      <c r="G363" s="13"/>
      <c r="I363" s="0" t="str">
        <f aca="false">IF(OR(H363="",E363="",D363=""),"",IF(H363=E363,"push",IF(D363="Over",IF(H363&gt;E363,1,0),IF(H363&lt;E363,1,0))))</f>
        <v/>
      </c>
      <c r="J363" s="0" t="str">
        <f aca="false">IF(AND(ISNUMBER(I363),G363&lt;&gt;""),(G363-I363)^2,"")</f>
        <v/>
      </c>
    </row>
    <row r="364" customFormat="false" ht="15" hidden="false" customHeight="false" outlineLevel="0" collapsed="false">
      <c r="G364" s="13"/>
      <c r="I364" s="0" t="str">
        <f aca="false">IF(OR(H364="",E364="",D364=""),"",IF(H364=E364,"push",IF(D364="Over",IF(H364&gt;E364,1,0),IF(H364&lt;E364,1,0))))</f>
        <v/>
      </c>
      <c r="J364" s="0" t="str">
        <f aca="false">IF(AND(ISNUMBER(I364),G364&lt;&gt;""),(G364-I364)^2,"")</f>
        <v/>
      </c>
    </row>
    <row r="365" customFormat="false" ht="15" hidden="false" customHeight="false" outlineLevel="0" collapsed="false">
      <c r="G365" s="13"/>
      <c r="I365" s="0" t="str">
        <f aca="false">IF(OR(H365="",E365="",D365=""),"",IF(H365=E365,"push",IF(D365="Over",IF(H365&gt;E365,1,0),IF(H365&lt;E365,1,0))))</f>
        <v/>
      </c>
      <c r="J365" s="0" t="str">
        <f aca="false">IF(AND(ISNUMBER(I365),G365&lt;&gt;""),(G365-I365)^2,"")</f>
        <v/>
      </c>
    </row>
    <row r="366" customFormat="false" ht="15" hidden="false" customHeight="false" outlineLevel="0" collapsed="false">
      <c r="G366" s="13"/>
      <c r="I366" s="0" t="str">
        <f aca="false">IF(OR(H366="",E366="",D366=""),"",IF(H366=E366,"push",IF(D366="Over",IF(H366&gt;E366,1,0),IF(H366&lt;E366,1,0))))</f>
        <v/>
      </c>
      <c r="J366" s="0" t="str">
        <f aca="false">IF(AND(ISNUMBER(I366),G366&lt;&gt;""),(G366-I366)^2,"")</f>
        <v/>
      </c>
    </row>
    <row r="367" customFormat="false" ht="15" hidden="false" customHeight="false" outlineLevel="0" collapsed="false">
      <c r="G367" s="13"/>
      <c r="I367" s="0" t="str">
        <f aca="false">IF(OR(H367="",E367="",D367=""),"",IF(H367=E367,"push",IF(D367="Over",IF(H367&gt;E367,1,0),IF(H367&lt;E367,1,0))))</f>
        <v/>
      </c>
      <c r="J367" s="0" t="str">
        <f aca="false">IF(AND(ISNUMBER(I367),G367&lt;&gt;""),(G367-I367)^2,"")</f>
        <v/>
      </c>
    </row>
    <row r="368" customFormat="false" ht="15" hidden="false" customHeight="false" outlineLevel="0" collapsed="false">
      <c r="G368" s="13"/>
      <c r="I368" s="0" t="str">
        <f aca="false">IF(OR(H368="",E368="",D368=""),"",IF(H368=E368,"push",IF(D368="Over",IF(H368&gt;E368,1,0),IF(H368&lt;E368,1,0))))</f>
        <v/>
      </c>
      <c r="J368" s="0" t="str">
        <f aca="false">IF(AND(ISNUMBER(I368),G368&lt;&gt;""),(G368-I368)^2,"")</f>
        <v/>
      </c>
    </row>
    <row r="369" customFormat="false" ht="15" hidden="false" customHeight="false" outlineLevel="0" collapsed="false">
      <c r="G369" s="13"/>
      <c r="I369" s="0" t="str">
        <f aca="false">IF(OR(H369="",E369="",D369=""),"",IF(H369=E369,"push",IF(D369="Over",IF(H369&gt;E369,1,0),IF(H369&lt;E369,1,0))))</f>
        <v/>
      </c>
      <c r="J369" s="0" t="str">
        <f aca="false">IF(AND(ISNUMBER(I369),G369&lt;&gt;""),(G369-I369)^2,"")</f>
        <v/>
      </c>
    </row>
    <row r="370" customFormat="false" ht="15" hidden="false" customHeight="false" outlineLevel="0" collapsed="false">
      <c r="G370" s="13"/>
      <c r="I370" s="0" t="str">
        <f aca="false">IF(OR(H370="",E370="",D370=""),"",IF(H370=E370,"push",IF(D370="Over",IF(H370&gt;E370,1,0),IF(H370&lt;E370,1,0))))</f>
        <v/>
      </c>
      <c r="J370" s="0" t="str">
        <f aca="false">IF(AND(ISNUMBER(I370),G370&lt;&gt;""),(G370-I370)^2,"")</f>
        <v/>
      </c>
    </row>
    <row r="371" customFormat="false" ht="15" hidden="false" customHeight="false" outlineLevel="0" collapsed="false">
      <c r="G371" s="13"/>
      <c r="I371" s="0" t="str">
        <f aca="false">IF(OR(H371="",E371="",D371=""),"",IF(H371=E371,"push",IF(D371="Over",IF(H371&gt;E371,1,0),IF(H371&lt;E371,1,0))))</f>
        <v/>
      </c>
      <c r="J371" s="0" t="str">
        <f aca="false">IF(AND(ISNUMBER(I371),G371&lt;&gt;""),(G371-I371)^2,"")</f>
        <v/>
      </c>
    </row>
    <row r="372" customFormat="false" ht="15" hidden="false" customHeight="false" outlineLevel="0" collapsed="false">
      <c r="G372" s="13"/>
      <c r="I372" s="0" t="str">
        <f aca="false">IF(OR(H372="",E372="",D372=""),"",IF(H372=E372,"push",IF(D372="Over",IF(H372&gt;E372,1,0),IF(H372&lt;E372,1,0))))</f>
        <v/>
      </c>
      <c r="J372" s="0" t="str">
        <f aca="false">IF(AND(ISNUMBER(I372),G372&lt;&gt;""),(G372-I372)^2,"")</f>
        <v/>
      </c>
    </row>
    <row r="373" customFormat="false" ht="15" hidden="false" customHeight="false" outlineLevel="0" collapsed="false">
      <c r="G373" s="13"/>
      <c r="I373" s="0" t="str">
        <f aca="false">IF(OR(H373="",E373="",D373=""),"",IF(H373=E373,"push",IF(D373="Over",IF(H373&gt;E373,1,0),IF(H373&lt;E373,1,0))))</f>
        <v/>
      </c>
      <c r="J373" s="0" t="str">
        <f aca="false">IF(AND(ISNUMBER(I373),G373&lt;&gt;""),(G373-I373)^2,"")</f>
        <v/>
      </c>
    </row>
    <row r="374" customFormat="false" ht="15" hidden="false" customHeight="false" outlineLevel="0" collapsed="false">
      <c r="G374" s="13"/>
      <c r="I374" s="0" t="str">
        <f aca="false">IF(OR(H374="",E374="",D374=""),"",IF(H374=E374,"push",IF(D374="Over",IF(H374&gt;E374,1,0),IF(H374&lt;E374,1,0))))</f>
        <v/>
      </c>
      <c r="J374" s="0" t="str">
        <f aca="false">IF(AND(ISNUMBER(I374),G374&lt;&gt;""),(G374-I374)^2,"")</f>
        <v/>
      </c>
    </row>
    <row r="375" customFormat="false" ht="15" hidden="false" customHeight="false" outlineLevel="0" collapsed="false">
      <c r="G375" s="13"/>
      <c r="I375" s="0" t="str">
        <f aca="false">IF(OR(H375="",E375="",D375=""),"",IF(H375=E375,"push",IF(D375="Over",IF(H375&gt;E375,1,0),IF(H375&lt;E375,1,0))))</f>
        <v/>
      </c>
      <c r="J375" s="0" t="str">
        <f aca="false">IF(AND(ISNUMBER(I375),G375&lt;&gt;""),(G375-I375)^2,"")</f>
        <v/>
      </c>
    </row>
    <row r="376" customFormat="false" ht="15" hidden="false" customHeight="false" outlineLevel="0" collapsed="false">
      <c r="G376" s="13"/>
      <c r="I376" s="0" t="str">
        <f aca="false">IF(OR(H376="",E376="",D376=""),"",IF(H376=E376,"push",IF(D376="Over",IF(H376&gt;E376,1,0),IF(H376&lt;E376,1,0))))</f>
        <v/>
      </c>
      <c r="J376" s="0" t="str">
        <f aca="false">IF(AND(ISNUMBER(I376),G376&lt;&gt;""),(G376-I376)^2,"")</f>
        <v/>
      </c>
    </row>
    <row r="377" customFormat="false" ht="15" hidden="false" customHeight="false" outlineLevel="0" collapsed="false">
      <c r="G377" s="13"/>
      <c r="I377" s="0" t="str">
        <f aca="false">IF(OR(H377="",E377="",D377=""),"",IF(H377=E377,"push",IF(D377="Over",IF(H377&gt;E377,1,0),IF(H377&lt;E377,1,0))))</f>
        <v/>
      </c>
      <c r="J377" s="0" t="str">
        <f aca="false">IF(AND(ISNUMBER(I377),G377&lt;&gt;""),(G377-I377)^2,"")</f>
        <v/>
      </c>
    </row>
    <row r="378" customFormat="false" ht="15" hidden="false" customHeight="false" outlineLevel="0" collapsed="false">
      <c r="G378" s="13"/>
      <c r="I378" s="0" t="str">
        <f aca="false">IF(OR(H378="",E378="",D378=""),"",IF(H378=E378,"push",IF(D378="Over",IF(H378&gt;E378,1,0),IF(H378&lt;E378,1,0))))</f>
        <v/>
      </c>
      <c r="J378" s="0" t="str">
        <f aca="false">IF(AND(ISNUMBER(I378),G378&lt;&gt;""),(G378-I378)^2,"")</f>
        <v/>
      </c>
    </row>
    <row r="379" customFormat="false" ht="15" hidden="false" customHeight="false" outlineLevel="0" collapsed="false">
      <c r="G379" s="13"/>
      <c r="I379" s="0" t="str">
        <f aca="false">IF(OR(H379="",E379="",D379=""),"",IF(H379=E379,"push",IF(D379="Over",IF(H379&gt;E379,1,0),IF(H379&lt;E379,1,0))))</f>
        <v/>
      </c>
      <c r="J379" s="0" t="str">
        <f aca="false">IF(AND(ISNUMBER(I379),G379&lt;&gt;""),(G379-I379)^2,"")</f>
        <v/>
      </c>
    </row>
    <row r="380" customFormat="false" ht="15" hidden="false" customHeight="false" outlineLevel="0" collapsed="false">
      <c r="G380" s="13"/>
      <c r="I380" s="0" t="str">
        <f aca="false">IF(OR(H380="",E380="",D380=""),"",IF(H380=E380,"push",IF(D380="Over",IF(H380&gt;E380,1,0),IF(H380&lt;E380,1,0))))</f>
        <v/>
      </c>
      <c r="J380" s="0" t="str">
        <f aca="false">IF(AND(ISNUMBER(I380),G380&lt;&gt;""),(G380-I380)^2,"")</f>
        <v/>
      </c>
    </row>
    <row r="381" customFormat="false" ht="15" hidden="false" customHeight="false" outlineLevel="0" collapsed="false">
      <c r="G381" s="13"/>
      <c r="I381" s="0" t="str">
        <f aca="false">IF(OR(H381="",E381="",D381=""),"",IF(H381=E381,"push",IF(D381="Over",IF(H381&gt;E381,1,0),IF(H381&lt;E381,1,0))))</f>
        <v/>
      </c>
      <c r="J381" s="0" t="str">
        <f aca="false">IF(AND(ISNUMBER(I381),G381&lt;&gt;""),(G381-I381)^2,"")</f>
        <v/>
      </c>
    </row>
    <row r="382" customFormat="false" ht="15" hidden="false" customHeight="false" outlineLevel="0" collapsed="false">
      <c r="G382" s="13"/>
      <c r="I382" s="0" t="str">
        <f aca="false">IF(OR(H382="",E382="",D382=""),"",IF(H382=E382,"push",IF(D382="Over",IF(H382&gt;E382,1,0),IF(H382&lt;E382,1,0))))</f>
        <v/>
      </c>
      <c r="J382" s="0" t="str">
        <f aca="false">IF(AND(ISNUMBER(I382),G382&lt;&gt;""),(G382-I382)^2,"")</f>
        <v/>
      </c>
    </row>
    <row r="383" customFormat="false" ht="15" hidden="false" customHeight="false" outlineLevel="0" collapsed="false">
      <c r="G383" s="13"/>
      <c r="I383" s="0" t="str">
        <f aca="false">IF(OR(H383="",E383="",D383=""),"",IF(H383=E383,"push",IF(D383="Over",IF(H383&gt;E383,1,0),IF(H383&lt;E383,1,0))))</f>
        <v/>
      </c>
      <c r="J383" s="0" t="str">
        <f aca="false">IF(AND(ISNUMBER(I383),G383&lt;&gt;""),(G383-I383)^2,"")</f>
        <v/>
      </c>
    </row>
    <row r="384" customFormat="false" ht="15" hidden="false" customHeight="false" outlineLevel="0" collapsed="false">
      <c r="G384" s="13"/>
      <c r="I384" s="0" t="str">
        <f aca="false">IF(OR(H384="",E384="",D384=""),"",IF(H384=E384,"push",IF(D384="Over",IF(H384&gt;E384,1,0),IF(H384&lt;E384,1,0))))</f>
        <v/>
      </c>
      <c r="J384" s="0" t="str">
        <f aca="false">IF(AND(ISNUMBER(I384),G384&lt;&gt;""),(G384-I384)^2,"")</f>
        <v/>
      </c>
    </row>
    <row r="385" customFormat="false" ht="15" hidden="false" customHeight="false" outlineLevel="0" collapsed="false">
      <c r="G385" s="13"/>
      <c r="I385" s="0" t="str">
        <f aca="false">IF(OR(H385="",E385="",D385=""),"",IF(H385=E385,"push",IF(D385="Over",IF(H385&gt;E385,1,0),IF(H385&lt;E385,1,0))))</f>
        <v/>
      </c>
      <c r="J385" s="0" t="str">
        <f aca="false">IF(AND(ISNUMBER(I385),G385&lt;&gt;""),(G385-I385)^2,"")</f>
        <v/>
      </c>
    </row>
    <row r="386" customFormat="false" ht="15" hidden="false" customHeight="false" outlineLevel="0" collapsed="false">
      <c r="G386" s="13"/>
      <c r="I386" s="0" t="str">
        <f aca="false">IF(OR(H386="",E386="",D386=""),"",IF(H386=E386,"push",IF(D386="Over",IF(H386&gt;E386,1,0),IF(H386&lt;E386,1,0))))</f>
        <v/>
      </c>
      <c r="J386" s="0" t="str">
        <f aca="false">IF(AND(ISNUMBER(I386),G386&lt;&gt;""),(G386-I386)^2,"")</f>
        <v/>
      </c>
    </row>
    <row r="387" customFormat="false" ht="15" hidden="false" customHeight="false" outlineLevel="0" collapsed="false">
      <c r="G387" s="13"/>
      <c r="I387" s="0" t="str">
        <f aca="false">IF(OR(H387="",E387="",D387=""),"",IF(H387=E387,"push",IF(D387="Over",IF(H387&gt;E387,1,0),IF(H387&lt;E387,1,0))))</f>
        <v/>
      </c>
      <c r="J387" s="0" t="str">
        <f aca="false">IF(AND(ISNUMBER(I387),G387&lt;&gt;""),(G387-I387)^2,"")</f>
        <v/>
      </c>
    </row>
    <row r="388" customFormat="false" ht="15" hidden="false" customHeight="false" outlineLevel="0" collapsed="false">
      <c r="G388" s="13"/>
      <c r="I388" s="0" t="str">
        <f aca="false">IF(OR(H388="",E388="",D388=""),"",IF(H388=E388,"push",IF(D388="Over",IF(H388&gt;E388,1,0),IF(H388&lt;E388,1,0))))</f>
        <v/>
      </c>
      <c r="J388" s="0" t="str">
        <f aca="false">IF(AND(ISNUMBER(I388),G388&lt;&gt;""),(G388-I388)^2,"")</f>
        <v/>
      </c>
    </row>
    <row r="389" customFormat="false" ht="15" hidden="false" customHeight="false" outlineLevel="0" collapsed="false">
      <c r="G389" s="13"/>
      <c r="I389" s="0" t="str">
        <f aca="false">IF(OR(H389="",E389="",D389=""),"",IF(H389=E389,"push",IF(D389="Over",IF(H389&gt;E389,1,0),IF(H389&lt;E389,1,0))))</f>
        <v/>
      </c>
      <c r="J389" s="0" t="str">
        <f aca="false">IF(AND(ISNUMBER(I389),G389&lt;&gt;""),(G389-I389)^2,"")</f>
        <v/>
      </c>
    </row>
    <row r="390" customFormat="false" ht="15" hidden="false" customHeight="false" outlineLevel="0" collapsed="false">
      <c r="G390" s="13"/>
      <c r="I390" s="0" t="str">
        <f aca="false">IF(OR(H390="",E390="",D390=""),"",IF(H390=E390,"push",IF(D390="Over",IF(H390&gt;E390,1,0),IF(H390&lt;E390,1,0))))</f>
        <v/>
      </c>
      <c r="J390" s="0" t="str">
        <f aca="false">IF(AND(ISNUMBER(I390),G390&lt;&gt;""),(G390-I390)^2,"")</f>
        <v/>
      </c>
    </row>
    <row r="391" customFormat="false" ht="15" hidden="false" customHeight="false" outlineLevel="0" collapsed="false">
      <c r="G391" s="13"/>
      <c r="I391" s="0" t="str">
        <f aca="false">IF(OR(H391="",E391="",D391=""),"",IF(H391=E391,"push",IF(D391="Over",IF(H391&gt;E391,1,0),IF(H391&lt;E391,1,0))))</f>
        <v/>
      </c>
      <c r="J391" s="0" t="str">
        <f aca="false">IF(AND(ISNUMBER(I391),G391&lt;&gt;""),(G391-I391)^2,"")</f>
        <v/>
      </c>
    </row>
    <row r="392" customFormat="false" ht="15" hidden="false" customHeight="false" outlineLevel="0" collapsed="false">
      <c r="G392" s="13"/>
      <c r="I392" s="0" t="str">
        <f aca="false">IF(OR(H392="",E392="",D392=""),"",IF(H392=E392,"push",IF(D392="Over",IF(H392&gt;E392,1,0),IF(H392&lt;E392,1,0))))</f>
        <v/>
      </c>
      <c r="J392" s="0" t="str">
        <f aca="false">IF(AND(ISNUMBER(I392),G392&lt;&gt;""),(G392-I392)^2,"")</f>
        <v/>
      </c>
    </row>
    <row r="393" customFormat="false" ht="15" hidden="false" customHeight="false" outlineLevel="0" collapsed="false">
      <c r="G393" s="13"/>
      <c r="I393" s="0" t="str">
        <f aca="false">IF(OR(H393="",E393="",D393=""),"",IF(H393=E393,"push",IF(D393="Over",IF(H393&gt;E393,1,0),IF(H393&lt;E393,1,0))))</f>
        <v/>
      </c>
      <c r="J393" s="0" t="str">
        <f aca="false">IF(AND(ISNUMBER(I393),G393&lt;&gt;""),(G393-I393)^2,"")</f>
        <v/>
      </c>
    </row>
    <row r="394" customFormat="false" ht="15" hidden="false" customHeight="false" outlineLevel="0" collapsed="false">
      <c r="G394" s="13"/>
      <c r="I394" s="0" t="str">
        <f aca="false">IF(OR(H394="",E394="",D394=""),"",IF(H394=E394,"push",IF(D394="Over",IF(H394&gt;E394,1,0),IF(H394&lt;E394,1,0))))</f>
        <v/>
      </c>
      <c r="J394" s="0" t="str">
        <f aca="false">IF(AND(ISNUMBER(I394),G394&lt;&gt;""),(G394-I394)^2,"")</f>
        <v/>
      </c>
    </row>
    <row r="395" customFormat="false" ht="15" hidden="false" customHeight="false" outlineLevel="0" collapsed="false">
      <c r="G395" s="13"/>
      <c r="I395" s="0" t="str">
        <f aca="false">IF(OR(H395="",E395="",D395=""),"",IF(H395=E395,"push",IF(D395="Over",IF(H395&gt;E395,1,0),IF(H395&lt;E395,1,0))))</f>
        <v/>
      </c>
      <c r="J395" s="0" t="str">
        <f aca="false">IF(AND(ISNUMBER(I395),G395&lt;&gt;""),(G395-I395)^2,"")</f>
        <v/>
      </c>
    </row>
    <row r="396" customFormat="false" ht="15" hidden="false" customHeight="false" outlineLevel="0" collapsed="false">
      <c r="G396" s="13"/>
      <c r="I396" s="0" t="str">
        <f aca="false">IF(OR(H396="",E396="",D396=""),"",IF(H396=E396,"push",IF(D396="Over",IF(H396&gt;E396,1,0),IF(H396&lt;E396,1,0))))</f>
        <v/>
      </c>
      <c r="J396" s="0" t="str">
        <f aca="false">IF(AND(ISNUMBER(I396),G396&lt;&gt;""),(G396-I396)^2,"")</f>
        <v/>
      </c>
    </row>
    <row r="397" customFormat="false" ht="15" hidden="false" customHeight="false" outlineLevel="0" collapsed="false">
      <c r="G397" s="13"/>
      <c r="I397" s="0" t="str">
        <f aca="false">IF(OR(H397="",E397="",D397=""),"",IF(H397=E397,"push",IF(D397="Over",IF(H397&gt;E397,1,0),IF(H397&lt;E397,1,0))))</f>
        <v/>
      </c>
      <c r="J397" s="0" t="str">
        <f aca="false">IF(AND(ISNUMBER(I397),G397&lt;&gt;""),(G397-I397)^2,"")</f>
        <v/>
      </c>
    </row>
    <row r="398" customFormat="false" ht="15" hidden="false" customHeight="false" outlineLevel="0" collapsed="false">
      <c r="G398" s="13"/>
      <c r="I398" s="0" t="str">
        <f aca="false">IF(OR(H398="",E398="",D398=""),"",IF(H398=E398,"push",IF(D398="Over",IF(H398&gt;E398,1,0),IF(H398&lt;E398,1,0))))</f>
        <v/>
      </c>
      <c r="J398" s="0" t="str">
        <f aca="false">IF(AND(ISNUMBER(I398),G398&lt;&gt;""),(G398-I398)^2,"")</f>
        <v/>
      </c>
    </row>
    <row r="399" customFormat="false" ht="15" hidden="false" customHeight="false" outlineLevel="0" collapsed="false">
      <c r="G399" s="13"/>
      <c r="I399" s="0" t="str">
        <f aca="false">IF(OR(H399="",E399="",D399=""),"",IF(H399=E399,"push",IF(D399="Over",IF(H399&gt;E399,1,0),IF(H399&lt;E399,1,0))))</f>
        <v/>
      </c>
      <c r="J399" s="0" t="str">
        <f aca="false">IF(AND(ISNUMBER(I399),G399&lt;&gt;""),(G399-I399)^2,"")</f>
        <v/>
      </c>
    </row>
    <row r="400" customFormat="false" ht="15" hidden="false" customHeight="false" outlineLevel="0" collapsed="false">
      <c r="G400" s="13"/>
      <c r="I400" s="0" t="str">
        <f aca="false">IF(OR(H400="",E400="",D400=""),"",IF(H400=E400,"push",IF(D400="Over",IF(H400&gt;E400,1,0),IF(H400&lt;E400,1,0))))</f>
        <v/>
      </c>
      <c r="J400" s="0" t="str">
        <f aca="false">IF(AND(ISNUMBER(I400),G400&lt;&gt;""),(G400-I400)^2,"")</f>
        <v/>
      </c>
    </row>
    <row r="401" customFormat="false" ht="15" hidden="false" customHeight="false" outlineLevel="0" collapsed="false">
      <c r="G401" s="13"/>
      <c r="I401" s="0" t="str">
        <f aca="false">IF(OR(H401="",E401="",D401=""),"",IF(H401=E401,"push",IF(D401="Over",IF(H401&gt;E401,1,0),IF(H401&lt;E401,1,0))))</f>
        <v/>
      </c>
      <c r="J401" s="0" t="str">
        <f aca="false">IF(AND(ISNUMBER(I401),G401&lt;&gt;""),(G401-I401)^2,"")</f>
        <v/>
      </c>
    </row>
    <row r="402" customFormat="false" ht="15" hidden="false" customHeight="false" outlineLevel="0" collapsed="false">
      <c r="G402" s="13"/>
      <c r="I402" s="0" t="str">
        <f aca="false">IF(OR(H402="",E402="",D402=""),"",IF(H402=E402,"push",IF(D402="Over",IF(H402&gt;E402,1,0),IF(H402&lt;E402,1,0))))</f>
        <v/>
      </c>
      <c r="J402" s="0" t="str">
        <f aca="false">IF(AND(ISNUMBER(I402),G402&lt;&gt;""),(G402-I402)^2,"")</f>
        <v/>
      </c>
    </row>
    <row r="403" customFormat="false" ht="15" hidden="false" customHeight="false" outlineLevel="0" collapsed="false">
      <c r="G403" s="13"/>
      <c r="I403" s="0" t="str">
        <f aca="false">IF(OR(H403="",E403="",D403=""),"",IF(H403=E403,"push",IF(D403="Over",IF(H403&gt;E403,1,0),IF(H403&lt;E403,1,0))))</f>
        <v/>
      </c>
      <c r="J403" s="0" t="str">
        <f aca="false">IF(AND(ISNUMBER(I403),G403&lt;&gt;""),(G403-I403)^2,"")</f>
        <v/>
      </c>
    </row>
    <row r="404" customFormat="false" ht="15" hidden="false" customHeight="false" outlineLevel="0" collapsed="false">
      <c r="G404" s="13"/>
      <c r="I404" s="0" t="str">
        <f aca="false">IF(OR(H404="",E404="",D404=""),"",IF(H404=E404,"push",IF(D404="Over",IF(H404&gt;E404,1,0),IF(H404&lt;E404,1,0))))</f>
        <v/>
      </c>
      <c r="J404" s="0" t="str">
        <f aca="false">IF(AND(ISNUMBER(I404),G404&lt;&gt;""),(G404-I404)^2,"")</f>
        <v/>
      </c>
    </row>
    <row r="405" customFormat="false" ht="15" hidden="false" customHeight="false" outlineLevel="0" collapsed="false">
      <c r="G405" s="13"/>
      <c r="I405" s="0" t="str">
        <f aca="false">IF(OR(H405="",E405="",D405=""),"",IF(H405=E405,"push",IF(D405="Over",IF(H405&gt;E405,1,0),IF(H405&lt;E405,1,0))))</f>
        <v/>
      </c>
      <c r="J405" s="0" t="str">
        <f aca="false">IF(AND(ISNUMBER(I405),G405&lt;&gt;""),(G405-I405)^2,"")</f>
        <v/>
      </c>
    </row>
    <row r="406" customFormat="false" ht="15" hidden="false" customHeight="false" outlineLevel="0" collapsed="false">
      <c r="G406" s="13"/>
      <c r="I406" s="0" t="str">
        <f aca="false">IF(OR(H406="",E406="",D406=""),"",IF(H406=E406,"push",IF(D406="Over",IF(H406&gt;E406,1,0),IF(H406&lt;E406,1,0))))</f>
        <v/>
      </c>
      <c r="J406" s="0" t="str">
        <f aca="false">IF(AND(ISNUMBER(I406),G406&lt;&gt;""),(G406-I406)^2,"")</f>
        <v/>
      </c>
    </row>
    <row r="407" customFormat="false" ht="15" hidden="false" customHeight="false" outlineLevel="0" collapsed="false">
      <c r="G407" s="13"/>
      <c r="I407" s="0" t="str">
        <f aca="false">IF(OR(H407="",E407="",D407=""),"",IF(H407=E407,"push",IF(D407="Over",IF(H407&gt;E407,1,0),IF(H407&lt;E407,1,0))))</f>
        <v/>
      </c>
      <c r="J407" s="0" t="str">
        <f aca="false">IF(AND(ISNUMBER(I407),G407&lt;&gt;""),(G407-I407)^2,"")</f>
        <v/>
      </c>
    </row>
    <row r="408" customFormat="false" ht="15" hidden="false" customHeight="false" outlineLevel="0" collapsed="false">
      <c r="G408" s="13"/>
      <c r="I408" s="0" t="str">
        <f aca="false">IF(OR(H408="",E408="",D408=""),"",IF(H408=E408,"push",IF(D408="Over",IF(H408&gt;E408,1,0),IF(H408&lt;E408,1,0))))</f>
        <v/>
      </c>
      <c r="J408" s="0" t="str">
        <f aca="false">IF(AND(ISNUMBER(I408),G408&lt;&gt;""),(G408-I408)^2,"")</f>
        <v/>
      </c>
    </row>
    <row r="409" customFormat="false" ht="15" hidden="false" customHeight="false" outlineLevel="0" collapsed="false">
      <c r="G409" s="13"/>
      <c r="I409" s="0" t="str">
        <f aca="false">IF(OR(H409="",E409="",D409=""),"",IF(H409=E409,"push",IF(D409="Over",IF(H409&gt;E409,1,0),IF(H409&lt;E409,1,0))))</f>
        <v/>
      </c>
      <c r="J409" s="0" t="str">
        <f aca="false">IF(AND(ISNUMBER(I409),G409&lt;&gt;""),(G409-I409)^2,"")</f>
        <v/>
      </c>
    </row>
    <row r="410" customFormat="false" ht="15" hidden="false" customHeight="false" outlineLevel="0" collapsed="false">
      <c r="G410" s="13"/>
      <c r="I410" s="0" t="str">
        <f aca="false">IF(OR(H410="",E410="",D410=""),"",IF(H410=E410,"push",IF(D410="Over",IF(H410&gt;E410,1,0),IF(H410&lt;E410,1,0))))</f>
        <v/>
      </c>
      <c r="J410" s="0" t="str">
        <f aca="false">IF(AND(ISNUMBER(I410),G410&lt;&gt;""),(G410-I410)^2,"")</f>
        <v/>
      </c>
    </row>
    <row r="411" customFormat="false" ht="15" hidden="false" customHeight="false" outlineLevel="0" collapsed="false">
      <c r="G411" s="13"/>
      <c r="I411" s="0" t="str">
        <f aca="false">IF(OR(H411="",E411="",D411=""),"",IF(H411=E411,"push",IF(D411="Over",IF(H411&gt;E411,1,0),IF(H411&lt;E411,1,0))))</f>
        <v/>
      </c>
      <c r="J411" s="0" t="str">
        <f aca="false">IF(AND(ISNUMBER(I411),G411&lt;&gt;""),(G411-I411)^2,"")</f>
        <v/>
      </c>
    </row>
    <row r="412" customFormat="false" ht="15" hidden="false" customHeight="false" outlineLevel="0" collapsed="false">
      <c r="G412" s="13"/>
      <c r="I412" s="0" t="str">
        <f aca="false">IF(OR(H412="",E412="",D412=""),"",IF(H412=E412,"push",IF(D412="Over",IF(H412&gt;E412,1,0),IF(H412&lt;E412,1,0))))</f>
        <v/>
      </c>
      <c r="J412" s="0" t="str">
        <f aca="false">IF(AND(ISNUMBER(I412),G412&lt;&gt;""),(G412-I412)^2,"")</f>
        <v/>
      </c>
    </row>
    <row r="413" customFormat="false" ht="15" hidden="false" customHeight="false" outlineLevel="0" collapsed="false">
      <c r="G413" s="13"/>
      <c r="I413" s="0" t="str">
        <f aca="false">IF(OR(H413="",E413="",D413=""),"",IF(H413=E413,"push",IF(D413="Over",IF(H413&gt;E413,1,0),IF(H413&lt;E413,1,0))))</f>
        <v/>
      </c>
      <c r="J413" s="0" t="str">
        <f aca="false">IF(AND(ISNUMBER(I413),G413&lt;&gt;""),(G413-I413)^2,"")</f>
        <v/>
      </c>
    </row>
    <row r="414" customFormat="false" ht="15" hidden="false" customHeight="false" outlineLevel="0" collapsed="false">
      <c r="G414" s="13"/>
      <c r="I414" s="0" t="str">
        <f aca="false">IF(OR(H414="",E414="",D414=""),"",IF(H414=E414,"push",IF(D414="Over",IF(H414&gt;E414,1,0),IF(H414&lt;E414,1,0))))</f>
        <v/>
      </c>
      <c r="J414" s="0" t="str">
        <f aca="false">IF(AND(ISNUMBER(I414),G414&lt;&gt;""),(G414-I414)^2,"")</f>
        <v/>
      </c>
    </row>
    <row r="415" customFormat="false" ht="15" hidden="false" customHeight="false" outlineLevel="0" collapsed="false">
      <c r="G415" s="13"/>
      <c r="I415" s="0" t="str">
        <f aca="false">IF(OR(H415="",E415="",D415=""),"",IF(H415=E415,"push",IF(D415="Over",IF(H415&gt;E415,1,0),IF(H415&lt;E415,1,0))))</f>
        <v/>
      </c>
      <c r="J415" s="0" t="str">
        <f aca="false">IF(AND(ISNUMBER(I415),G415&lt;&gt;""),(G415-I415)^2,"")</f>
        <v/>
      </c>
    </row>
    <row r="416" customFormat="false" ht="15" hidden="false" customHeight="false" outlineLevel="0" collapsed="false">
      <c r="G416" s="13"/>
      <c r="I416" s="0" t="str">
        <f aca="false">IF(OR(H416="",E416="",D416=""),"",IF(H416=E416,"push",IF(D416="Over",IF(H416&gt;E416,1,0),IF(H416&lt;E416,1,0))))</f>
        <v/>
      </c>
      <c r="J416" s="0" t="str">
        <f aca="false">IF(AND(ISNUMBER(I416),G416&lt;&gt;""),(G416-I416)^2,"")</f>
        <v/>
      </c>
    </row>
    <row r="417" customFormat="false" ht="15" hidden="false" customHeight="false" outlineLevel="0" collapsed="false">
      <c r="G417" s="13"/>
      <c r="I417" s="0" t="str">
        <f aca="false">IF(OR(H417="",E417="",D417=""),"",IF(H417=E417,"push",IF(D417="Over",IF(H417&gt;E417,1,0),IF(H417&lt;E417,1,0))))</f>
        <v/>
      </c>
      <c r="J417" s="0" t="str">
        <f aca="false">IF(AND(ISNUMBER(I417),G417&lt;&gt;""),(G417-I417)^2,"")</f>
        <v/>
      </c>
    </row>
    <row r="418" customFormat="false" ht="15" hidden="false" customHeight="false" outlineLevel="0" collapsed="false">
      <c r="G418" s="13"/>
      <c r="I418" s="0" t="str">
        <f aca="false">IF(OR(H418="",E418="",D418=""),"",IF(H418=E418,"push",IF(D418="Over",IF(H418&gt;E418,1,0),IF(H418&lt;E418,1,0))))</f>
        <v/>
      </c>
      <c r="J418" s="0" t="str">
        <f aca="false">IF(AND(ISNUMBER(I418),G418&lt;&gt;""),(G418-I418)^2,"")</f>
        <v/>
      </c>
    </row>
    <row r="419" customFormat="false" ht="15" hidden="false" customHeight="false" outlineLevel="0" collapsed="false">
      <c r="G419" s="13"/>
      <c r="I419" s="0" t="str">
        <f aca="false">IF(OR(H419="",E419="",D419=""),"",IF(H419=E419,"push",IF(D419="Over",IF(H419&gt;E419,1,0),IF(H419&lt;E419,1,0))))</f>
        <v/>
      </c>
      <c r="J419" s="0" t="str">
        <f aca="false">IF(AND(ISNUMBER(I419),G419&lt;&gt;""),(G419-I419)^2,"")</f>
        <v/>
      </c>
    </row>
    <row r="420" customFormat="false" ht="15" hidden="false" customHeight="false" outlineLevel="0" collapsed="false">
      <c r="G420" s="13"/>
      <c r="I420" s="0" t="str">
        <f aca="false">IF(OR(H420="",E420="",D420=""),"",IF(H420=E420,"push",IF(D420="Over",IF(H420&gt;E420,1,0),IF(H420&lt;E420,1,0))))</f>
        <v/>
      </c>
      <c r="J420" s="0" t="str">
        <f aca="false">IF(AND(ISNUMBER(I420),G420&lt;&gt;""),(G420-I420)^2,"")</f>
        <v/>
      </c>
    </row>
    <row r="421" customFormat="false" ht="15" hidden="false" customHeight="false" outlineLevel="0" collapsed="false">
      <c r="G421" s="13"/>
      <c r="I421" s="0" t="str">
        <f aca="false">IF(OR(H421="",E421="",D421=""),"",IF(H421=E421,"push",IF(D421="Over",IF(H421&gt;E421,1,0),IF(H421&lt;E421,1,0))))</f>
        <v/>
      </c>
      <c r="J421" s="0" t="str">
        <f aca="false">IF(AND(ISNUMBER(I421),G421&lt;&gt;""),(G421-I421)^2,"")</f>
        <v/>
      </c>
    </row>
    <row r="422" customFormat="false" ht="15" hidden="false" customHeight="false" outlineLevel="0" collapsed="false">
      <c r="G422" s="13"/>
      <c r="I422" s="0" t="str">
        <f aca="false">IF(OR(H422="",E422="",D422=""),"",IF(H422=E422,"push",IF(D422="Over",IF(H422&gt;E422,1,0),IF(H422&lt;E422,1,0))))</f>
        <v/>
      </c>
      <c r="J422" s="0" t="str">
        <f aca="false">IF(AND(ISNUMBER(I422),G422&lt;&gt;""),(G422-I422)^2,"")</f>
        <v/>
      </c>
    </row>
    <row r="423" customFormat="false" ht="15" hidden="false" customHeight="false" outlineLevel="0" collapsed="false">
      <c r="G423" s="13"/>
      <c r="I423" s="0" t="str">
        <f aca="false">IF(OR(H423="",E423="",D423=""),"",IF(H423=E423,"push",IF(D423="Over",IF(H423&gt;E423,1,0),IF(H423&lt;E423,1,0))))</f>
        <v/>
      </c>
      <c r="J423" s="0" t="str">
        <f aca="false">IF(AND(ISNUMBER(I423),G423&lt;&gt;""),(G423-I423)^2,"")</f>
        <v/>
      </c>
    </row>
    <row r="424" customFormat="false" ht="15" hidden="false" customHeight="false" outlineLevel="0" collapsed="false">
      <c r="G424" s="13"/>
      <c r="I424" s="0" t="str">
        <f aca="false">IF(OR(H424="",E424="",D424=""),"",IF(H424=E424,"push",IF(D424="Over",IF(H424&gt;E424,1,0),IF(H424&lt;E424,1,0))))</f>
        <v/>
      </c>
      <c r="J424" s="0" t="str">
        <f aca="false">IF(AND(ISNUMBER(I424),G424&lt;&gt;""),(G424-I424)^2,"")</f>
        <v/>
      </c>
    </row>
    <row r="425" customFormat="false" ht="15" hidden="false" customHeight="false" outlineLevel="0" collapsed="false">
      <c r="G425" s="13"/>
      <c r="I425" s="0" t="str">
        <f aca="false">IF(OR(H425="",E425="",D425=""),"",IF(H425=E425,"push",IF(D425="Over",IF(H425&gt;E425,1,0),IF(H425&lt;E425,1,0))))</f>
        <v/>
      </c>
      <c r="J425" s="0" t="str">
        <f aca="false">IF(AND(ISNUMBER(I425),G425&lt;&gt;""),(G425-I425)^2,"")</f>
        <v/>
      </c>
    </row>
    <row r="426" customFormat="false" ht="15" hidden="false" customHeight="false" outlineLevel="0" collapsed="false">
      <c r="G426" s="13"/>
      <c r="I426" s="0" t="str">
        <f aca="false">IF(OR(H426="",E426="",D426=""),"",IF(H426=E426,"push",IF(D426="Over",IF(H426&gt;E426,1,0),IF(H426&lt;E426,1,0))))</f>
        <v/>
      </c>
      <c r="J426" s="0" t="str">
        <f aca="false">IF(AND(ISNUMBER(I426),G426&lt;&gt;""),(G426-I426)^2,"")</f>
        <v/>
      </c>
    </row>
    <row r="427" customFormat="false" ht="15" hidden="false" customHeight="false" outlineLevel="0" collapsed="false">
      <c r="G427" s="13"/>
      <c r="I427" s="0" t="str">
        <f aca="false">IF(OR(H427="",E427="",D427=""),"",IF(H427=E427,"push",IF(D427="Over",IF(H427&gt;E427,1,0),IF(H427&lt;E427,1,0))))</f>
        <v/>
      </c>
      <c r="J427" s="0" t="str">
        <f aca="false">IF(AND(ISNUMBER(I427),G427&lt;&gt;""),(G427-I427)^2,"")</f>
        <v/>
      </c>
    </row>
    <row r="428" customFormat="false" ht="15" hidden="false" customHeight="false" outlineLevel="0" collapsed="false">
      <c r="G428" s="13"/>
      <c r="I428" s="0" t="str">
        <f aca="false">IF(OR(H428="",E428="",D428=""),"",IF(H428=E428,"push",IF(D428="Over",IF(H428&gt;E428,1,0),IF(H428&lt;E428,1,0))))</f>
        <v/>
      </c>
      <c r="J428" s="0" t="str">
        <f aca="false">IF(AND(ISNUMBER(I428),G428&lt;&gt;""),(G428-I428)^2,"")</f>
        <v/>
      </c>
    </row>
    <row r="429" customFormat="false" ht="15" hidden="false" customHeight="false" outlineLevel="0" collapsed="false">
      <c r="G429" s="13"/>
      <c r="I429" s="0" t="str">
        <f aca="false">IF(OR(H429="",E429="",D429=""),"",IF(H429=E429,"push",IF(D429="Over",IF(H429&gt;E429,1,0),IF(H429&lt;E429,1,0))))</f>
        <v/>
      </c>
      <c r="J429" s="0" t="str">
        <f aca="false">IF(AND(ISNUMBER(I429),G429&lt;&gt;""),(G429-I429)^2,"")</f>
        <v/>
      </c>
    </row>
    <row r="430" customFormat="false" ht="15" hidden="false" customHeight="false" outlineLevel="0" collapsed="false">
      <c r="G430" s="13"/>
      <c r="I430" s="0" t="str">
        <f aca="false">IF(OR(H430="",E430="",D430=""),"",IF(H430=E430,"push",IF(D430="Over",IF(H430&gt;E430,1,0),IF(H430&lt;E430,1,0))))</f>
        <v/>
      </c>
      <c r="J430" s="0" t="str">
        <f aca="false">IF(AND(ISNUMBER(I430),G430&lt;&gt;""),(G430-I430)^2,"")</f>
        <v/>
      </c>
    </row>
    <row r="431" customFormat="false" ht="15" hidden="false" customHeight="false" outlineLevel="0" collapsed="false">
      <c r="G431" s="13"/>
      <c r="I431" s="0" t="str">
        <f aca="false">IF(OR(H431="",E431="",D431=""),"",IF(H431=E431,"push",IF(D431="Over",IF(H431&gt;E431,1,0),IF(H431&lt;E431,1,0))))</f>
        <v/>
      </c>
      <c r="J431" s="0" t="str">
        <f aca="false">IF(AND(ISNUMBER(I431),G431&lt;&gt;""),(G431-I431)^2,"")</f>
        <v/>
      </c>
    </row>
    <row r="432" customFormat="false" ht="15" hidden="false" customHeight="false" outlineLevel="0" collapsed="false">
      <c r="G432" s="13"/>
      <c r="I432" s="0" t="str">
        <f aca="false">IF(OR(H432="",E432="",D432=""),"",IF(H432=E432,"push",IF(D432="Over",IF(H432&gt;E432,1,0),IF(H432&lt;E432,1,0))))</f>
        <v/>
      </c>
      <c r="J432" s="0" t="str">
        <f aca="false">IF(AND(ISNUMBER(I432),G432&lt;&gt;""),(G432-I432)^2,"")</f>
        <v/>
      </c>
    </row>
    <row r="433" customFormat="false" ht="15" hidden="false" customHeight="false" outlineLevel="0" collapsed="false">
      <c r="G433" s="13"/>
      <c r="I433" s="0" t="str">
        <f aca="false">IF(OR(H433="",E433="",D433=""),"",IF(H433=E433,"push",IF(D433="Over",IF(H433&gt;E433,1,0),IF(H433&lt;E433,1,0))))</f>
        <v/>
      </c>
      <c r="J433" s="0" t="str">
        <f aca="false">IF(AND(ISNUMBER(I433),G433&lt;&gt;""),(G433-I433)^2,"")</f>
        <v/>
      </c>
    </row>
    <row r="434" customFormat="false" ht="15" hidden="false" customHeight="false" outlineLevel="0" collapsed="false">
      <c r="G434" s="13"/>
      <c r="I434" s="0" t="str">
        <f aca="false">IF(OR(H434="",E434="",D434=""),"",IF(H434=E434,"push",IF(D434="Over",IF(H434&gt;E434,1,0),IF(H434&lt;E434,1,0))))</f>
        <v/>
      </c>
      <c r="J434" s="0" t="str">
        <f aca="false">IF(AND(ISNUMBER(I434),G434&lt;&gt;""),(G434-I434)^2,"")</f>
        <v/>
      </c>
    </row>
    <row r="435" customFormat="false" ht="15" hidden="false" customHeight="false" outlineLevel="0" collapsed="false">
      <c r="G435" s="13"/>
      <c r="I435" s="0" t="str">
        <f aca="false">IF(OR(H435="",E435="",D435=""),"",IF(H435=E435,"push",IF(D435="Over",IF(H435&gt;E435,1,0),IF(H435&lt;E435,1,0))))</f>
        <v/>
      </c>
      <c r="J435" s="0" t="str">
        <f aca="false">IF(AND(ISNUMBER(I435),G435&lt;&gt;""),(G435-I435)^2,"")</f>
        <v/>
      </c>
    </row>
    <row r="436" customFormat="false" ht="15" hidden="false" customHeight="false" outlineLevel="0" collapsed="false">
      <c r="G436" s="13"/>
      <c r="I436" s="0" t="str">
        <f aca="false">IF(OR(H436="",E436="",D436=""),"",IF(H436=E436,"push",IF(D436="Over",IF(H436&gt;E436,1,0),IF(H436&lt;E436,1,0))))</f>
        <v/>
      </c>
      <c r="J436" s="0" t="str">
        <f aca="false">IF(AND(ISNUMBER(I436),G436&lt;&gt;""),(G436-I436)^2,"")</f>
        <v/>
      </c>
    </row>
    <row r="437" customFormat="false" ht="15" hidden="false" customHeight="false" outlineLevel="0" collapsed="false">
      <c r="G437" s="13"/>
      <c r="I437" s="0" t="str">
        <f aca="false">IF(OR(H437="",E437="",D437=""),"",IF(H437=E437,"push",IF(D437="Over",IF(H437&gt;E437,1,0),IF(H437&lt;E437,1,0))))</f>
        <v/>
      </c>
      <c r="J437" s="0" t="str">
        <f aca="false">IF(AND(ISNUMBER(I437),G437&lt;&gt;""),(G437-I437)^2,"")</f>
        <v/>
      </c>
    </row>
    <row r="438" customFormat="false" ht="15" hidden="false" customHeight="false" outlineLevel="0" collapsed="false">
      <c r="G438" s="13"/>
      <c r="I438" s="0" t="str">
        <f aca="false">IF(OR(H438="",E438="",D438=""),"",IF(H438=E438,"push",IF(D438="Over",IF(H438&gt;E438,1,0),IF(H438&lt;E438,1,0))))</f>
        <v/>
      </c>
      <c r="J438" s="0" t="str">
        <f aca="false">IF(AND(ISNUMBER(I438),G438&lt;&gt;""),(G438-I438)^2,"")</f>
        <v/>
      </c>
    </row>
    <row r="439" customFormat="false" ht="15" hidden="false" customHeight="false" outlineLevel="0" collapsed="false">
      <c r="G439" s="13"/>
      <c r="I439" s="0" t="str">
        <f aca="false">IF(OR(H439="",E439="",D439=""),"",IF(H439=E439,"push",IF(D439="Over",IF(H439&gt;E439,1,0),IF(H439&lt;E439,1,0))))</f>
        <v/>
      </c>
      <c r="J439" s="0" t="str">
        <f aca="false">IF(AND(ISNUMBER(I439),G439&lt;&gt;""),(G439-I439)^2,"")</f>
        <v/>
      </c>
    </row>
    <row r="440" customFormat="false" ht="15" hidden="false" customHeight="false" outlineLevel="0" collapsed="false">
      <c r="G440" s="13"/>
      <c r="I440" s="0" t="str">
        <f aca="false">IF(OR(H440="",E440="",D440=""),"",IF(H440=E440,"push",IF(D440="Over",IF(H440&gt;E440,1,0),IF(H440&lt;E440,1,0))))</f>
        <v/>
      </c>
      <c r="J440" s="0" t="str">
        <f aca="false">IF(AND(ISNUMBER(I440),G440&lt;&gt;""),(G440-I440)^2,"")</f>
        <v/>
      </c>
    </row>
    <row r="441" customFormat="false" ht="15" hidden="false" customHeight="false" outlineLevel="0" collapsed="false">
      <c r="G441" s="13"/>
      <c r="I441" s="0" t="str">
        <f aca="false">IF(OR(H441="",E441="",D441=""),"",IF(H441=E441,"push",IF(D441="Over",IF(H441&gt;E441,1,0),IF(H441&lt;E441,1,0))))</f>
        <v/>
      </c>
      <c r="J441" s="0" t="str">
        <f aca="false">IF(AND(ISNUMBER(I441),G441&lt;&gt;""),(G441-I441)^2,"")</f>
        <v/>
      </c>
    </row>
    <row r="442" customFormat="false" ht="15" hidden="false" customHeight="false" outlineLevel="0" collapsed="false">
      <c r="G442" s="13"/>
      <c r="I442" s="0" t="str">
        <f aca="false">IF(OR(H442="",E442="",D442=""),"",IF(H442=E442,"push",IF(D442="Over",IF(H442&gt;E442,1,0),IF(H442&lt;E442,1,0))))</f>
        <v/>
      </c>
      <c r="J442" s="0" t="str">
        <f aca="false">IF(AND(ISNUMBER(I442),G442&lt;&gt;""),(G442-I442)^2,"")</f>
        <v/>
      </c>
    </row>
    <row r="443" customFormat="false" ht="15" hidden="false" customHeight="false" outlineLevel="0" collapsed="false">
      <c r="G443" s="13"/>
      <c r="I443" s="0" t="str">
        <f aca="false">IF(OR(H443="",E443="",D443=""),"",IF(H443=E443,"push",IF(D443="Over",IF(H443&gt;E443,1,0),IF(H443&lt;E443,1,0))))</f>
        <v/>
      </c>
      <c r="J443" s="0" t="str">
        <f aca="false">IF(AND(ISNUMBER(I443),G443&lt;&gt;""),(G443-I443)^2,"")</f>
        <v/>
      </c>
    </row>
    <row r="444" customFormat="false" ht="15" hidden="false" customHeight="false" outlineLevel="0" collapsed="false">
      <c r="G444" s="13"/>
      <c r="I444" s="0" t="str">
        <f aca="false">IF(OR(H444="",E444="",D444=""),"",IF(H444=E444,"push",IF(D444="Over",IF(H444&gt;E444,1,0),IF(H444&lt;E444,1,0))))</f>
        <v/>
      </c>
      <c r="J444" s="0" t="str">
        <f aca="false">IF(AND(ISNUMBER(I444),G444&lt;&gt;""),(G444-I444)^2,"")</f>
        <v/>
      </c>
    </row>
    <row r="445" customFormat="false" ht="15" hidden="false" customHeight="false" outlineLevel="0" collapsed="false">
      <c r="G445" s="13"/>
      <c r="I445" s="0" t="str">
        <f aca="false">IF(OR(H445="",E445="",D445=""),"",IF(H445=E445,"push",IF(D445="Over",IF(H445&gt;E445,1,0),IF(H445&lt;E445,1,0))))</f>
        <v/>
      </c>
      <c r="J445" s="0" t="str">
        <f aca="false">IF(AND(ISNUMBER(I445),G445&lt;&gt;""),(G445-I445)^2,"")</f>
        <v/>
      </c>
    </row>
    <row r="446" customFormat="false" ht="15" hidden="false" customHeight="false" outlineLevel="0" collapsed="false">
      <c r="G446" s="13"/>
      <c r="I446" s="0" t="str">
        <f aca="false">IF(OR(H446="",E446="",D446=""),"",IF(H446=E446,"push",IF(D446="Over",IF(H446&gt;E446,1,0),IF(H446&lt;E446,1,0))))</f>
        <v/>
      </c>
      <c r="J446" s="0" t="str">
        <f aca="false">IF(AND(ISNUMBER(I446),G446&lt;&gt;""),(G446-I446)^2,"")</f>
        <v/>
      </c>
    </row>
    <row r="447" customFormat="false" ht="15" hidden="false" customHeight="false" outlineLevel="0" collapsed="false">
      <c r="G447" s="13"/>
      <c r="I447" s="0" t="str">
        <f aca="false">IF(OR(H447="",E447="",D447=""),"",IF(H447=E447,"push",IF(D447="Over",IF(H447&gt;E447,1,0),IF(H447&lt;E447,1,0))))</f>
        <v/>
      </c>
      <c r="J447" s="0" t="str">
        <f aca="false">IF(AND(ISNUMBER(I447),G447&lt;&gt;""),(G447-I447)^2,"")</f>
        <v/>
      </c>
    </row>
    <row r="448" customFormat="false" ht="15" hidden="false" customHeight="false" outlineLevel="0" collapsed="false">
      <c r="G448" s="13"/>
      <c r="I448" s="0" t="str">
        <f aca="false">IF(OR(H448="",E448="",D448=""),"",IF(H448=E448,"push",IF(D448="Over",IF(H448&gt;E448,1,0),IF(H448&lt;E448,1,0))))</f>
        <v/>
      </c>
      <c r="J448" s="0" t="str">
        <f aca="false">IF(AND(ISNUMBER(I448),G448&lt;&gt;""),(G448-I448)^2,"")</f>
        <v/>
      </c>
    </row>
    <row r="449" customFormat="false" ht="15" hidden="false" customHeight="false" outlineLevel="0" collapsed="false">
      <c r="G449" s="13"/>
      <c r="I449" s="0" t="str">
        <f aca="false">IF(OR(H449="",E449="",D449=""),"",IF(H449=E449,"push",IF(D449="Over",IF(H449&gt;E449,1,0),IF(H449&lt;E449,1,0))))</f>
        <v/>
      </c>
      <c r="J449" s="0" t="str">
        <f aca="false">IF(AND(ISNUMBER(I449),G449&lt;&gt;""),(G449-I449)^2,"")</f>
        <v/>
      </c>
    </row>
    <row r="450" customFormat="false" ht="15" hidden="false" customHeight="false" outlineLevel="0" collapsed="false">
      <c r="G450" s="13"/>
      <c r="I450" s="0" t="str">
        <f aca="false">IF(OR(H450="",E450="",D450=""),"",IF(H450=E450,"push",IF(D450="Over",IF(H450&gt;E450,1,0),IF(H450&lt;E450,1,0))))</f>
        <v/>
      </c>
      <c r="J450" s="0" t="str">
        <f aca="false">IF(AND(ISNUMBER(I450),G450&lt;&gt;""),(G450-I450)^2,"")</f>
        <v/>
      </c>
    </row>
    <row r="451" customFormat="false" ht="15" hidden="false" customHeight="false" outlineLevel="0" collapsed="false">
      <c r="G451" s="13"/>
      <c r="I451" s="0" t="str">
        <f aca="false">IF(OR(H451="",E451="",D451=""),"",IF(H451=E451,"push",IF(D451="Over",IF(H451&gt;E451,1,0),IF(H451&lt;E451,1,0))))</f>
        <v/>
      </c>
      <c r="J451" s="0" t="str">
        <f aca="false">IF(AND(ISNUMBER(I451),G451&lt;&gt;""),(G451-I451)^2,"")</f>
        <v/>
      </c>
    </row>
    <row r="452" customFormat="false" ht="15" hidden="false" customHeight="false" outlineLevel="0" collapsed="false">
      <c r="G452" s="13"/>
      <c r="I452" s="0" t="str">
        <f aca="false">IF(OR(H452="",E452="",D452=""),"",IF(H452=E452,"push",IF(D452="Over",IF(H452&gt;E452,1,0),IF(H452&lt;E452,1,0))))</f>
        <v/>
      </c>
      <c r="J452" s="0" t="str">
        <f aca="false">IF(AND(ISNUMBER(I452),G452&lt;&gt;""),(G452-I452)^2,"")</f>
        <v/>
      </c>
    </row>
    <row r="453" customFormat="false" ht="15" hidden="false" customHeight="false" outlineLevel="0" collapsed="false">
      <c r="G453" s="13"/>
      <c r="I453" s="0" t="str">
        <f aca="false">IF(OR(H453="",E453="",D453=""),"",IF(H453=E453,"push",IF(D453="Over",IF(H453&gt;E453,1,0),IF(H453&lt;E453,1,0))))</f>
        <v/>
      </c>
      <c r="J453" s="0" t="str">
        <f aca="false">IF(AND(ISNUMBER(I453),G453&lt;&gt;""),(G453-I453)^2,"")</f>
        <v/>
      </c>
    </row>
    <row r="454" customFormat="false" ht="15" hidden="false" customHeight="false" outlineLevel="0" collapsed="false">
      <c r="G454" s="13"/>
      <c r="I454" s="0" t="str">
        <f aca="false">IF(OR(H454="",E454="",D454=""),"",IF(H454=E454,"push",IF(D454="Over",IF(H454&gt;E454,1,0),IF(H454&lt;E454,1,0))))</f>
        <v/>
      </c>
      <c r="J454" s="0" t="str">
        <f aca="false">IF(AND(ISNUMBER(I454),G454&lt;&gt;""),(G454-I454)^2,"")</f>
        <v/>
      </c>
    </row>
    <row r="455" customFormat="false" ht="15" hidden="false" customHeight="false" outlineLevel="0" collapsed="false">
      <c r="G455" s="13"/>
      <c r="I455" s="0" t="str">
        <f aca="false">IF(OR(H455="",E455="",D455=""),"",IF(H455=E455,"push",IF(D455="Over",IF(H455&gt;E455,1,0),IF(H455&lt;E455,1,0))))</f>
        <v/>
      </c>
      <c r="J455" s="0" t="str">
        <f aca="false">IF(AND(ISNUMBER(I455),G455&lt;&gt;""),(G455-I455)^2,"")</f>
        <v/>
      </c>
    </row>
    <row r="456" customFormat="false" ht="15" hidden="false" customHeight="false" outlineLevel="0" collapsed="false">
      <c r="G456" s="13"/>
      <c r="I456" s="0" t="str">
        <f aca="false">IF(OR(H456="",E456="",D456=""),"",IF(H456=E456,"push",IF(D456="Over",IF(H456&gt;E456,1,0),IF(H456&lt;E456,1,0))))</f>
        <v/>
      </c>
      <c r="J456" s="0" t="str">
        <f aca="false">IF(AND(ISNUMBER(I456),G456&lt;&gt;""),(G456-I456)^2,"")</f>
        <v/>
      </c>
    </row>
    <row r="457" customFormat="false" ht="15" hidden="false" customHeight="false" outlineLevel="0" collapsed="false">
      <c r="G457" s="13"/>
      <c r="I457" s="0" t="str">
        <f aca="false">IF(OR(H457="",E457="",D457=""),"",IF(H457=E457,"push",IF(D457="Over",IF(H457&gt;E457,1,0),IF(H457&lt;E457,1,0))))</f>
        <v/>
      </c>
      <c r="J457" s="0" t="str">
        <f aca="false">IF(AND(ISNUMBER(I457),G457&lt;&gt;""),(G457-I457)^2,"")</f>
        <v/>
      </c>
    </row>
    <row r="458" customFormat="false" ht="15" hidden="false" customHeight="false" outlineLevel="0" collapsed="false">
      <c r="G458" s="13"/>
      <c r="I458" s="0" t="str">
        <f aca="false">IF(OR(H458="",E458="",D458=""),"",IF(H458=E458,"push",IF(D458="Over",IF(H458&gt;E458,1,0),IF(H458&lt;E458,1,0))))</f>
        <v/>
      </c>
      <c r="J458" s="0" t="str">
        <f aca="false">IF(AND(ISNUMBER(I458),G458&lt;&gt;""),(G458-I458)^2,"")</f>
        <v/>
      </c>
    </row>
    <row r="459" customFormat="false" ht="15" hidden="false" customHeight="false" outlineLevel="0" collapsed="false">
      <c r="G459" s="13"/>
      <c r="I459" s="0" t="str">
        <f aca="false">IF(OR(H459="",E459="",D459=""),"",IF(H459=E459,"push",IF(D459="Over",IF(H459&gt;E459,1,0),IF(H459&lt;E459,1,0))))</f>
        <v/>
      </c>
      <c r="J459" s="0" t="str">
        <f aca="false">IF(AND(ISNUMBER(I459),G459&lt;&gt;""),(G459-I459)^2,"")</f>
        <v/>
      </c>
    </row>
    <row r="460" customFormat="false" ht="15" hidden="false" customHeight="false" outlineLevel="0" collapsed="false">
      <c r="G460" s="13"/>
      <c r="I460" s="0" t="str">
        <f aca="false">IF(OR(H460="",E460="",D460=""),"",IF(H460=E460,"push",IF(D460="Over",IF(H460&gt;E460,1,0),IF(H460&lt;E460,1,0))))</f>
        <v/>
      </c>
      <c r="J460" s="0" t="str">
        <f aca="false">IF(AND(ISNUMBER(I460),G460&lt;&gt;""),(G460-I460)^2,"")</f>
        <v/>
      </c>
    </row>
    <row r="461" customFormat="false" ht="15" hidden="false" customHeight="false" outlineLevel="0" collapsed="false">
      <c r="G461" s="13"/>
      <c r="I461" s="0" t="str">
        <f aca="false">IF(OR(H461="",E461="",D461=""),"",IF(H461=E461,"push",IF(D461="Over",IF(H461&gt;E461,1,0),IF(H461&lt;E461,1,0))))</f>
        <v/>
      </c>
      <c r="J461" s="0" t="str">
        <f aca="false">IF(AND(ISNUMBER(I461),G461&lt;&gt;""),(G461-I461)^2,"")</f>
        <v/>
      </c>
    </row>
    <row r="462" customFormat="false" ht="15" hidden="false" customHeight="false" outlineLevel="0" collapsed="false">
      <c r="G462" s="13"/>
      <c r="I462" s="0" t="str">
        <f aca="false">IF(OR(H462="",E462="",D462=""),"",IF(H462=E462,"push",IF(D462="Over",IF(H462&gt;E462,1,0),IF(H462&lt;E462,1,0))))</f>
        <v/>
      </c>
      <c r="J462" s="0" t="str">
        <f aca="false">IF(AND(ISNUMBER(I462),G462&lt;&gt;""),(G462-I462)^2,"")</f>
        <v/>
      </c>
    </row>
    <row r="463" customFormat="false" ht="15" hidden="false" customHeight="false" outlineLevel="0" collapsed="false">
      <c r="G463" s="13"/>
      <c r="I463" s="0" t="str">
        <f aca="false">IF(OR(H463="",E463="",D463=""),"",IF(H463=E463,"push",IF(D463="Over",IF(H463&gt;E463,1,0),IF(H463&lt;E463,1,0))))</f>
        <v/>
      </c>
      <c r="J463" s="0" t="str">
        <f aca="false">IF(AND(ISNUMBER(I463),G463&lt;&gt;""),(G463-I463)^2,"")</f>
        <v/>
      </c>
    </row>
    <row r="464" customFormat="false" ht="15" hidden="false" customHeight="false" outlineLevel="0" collapsed="false">
      <c r="G464" s="13"/>
      <c r="I464" s="0" t="str">
        <f aca="false">IF(OR(H464="",E464="",D464=""),"",IF(H464=E464,"push",IF(D464="Over",IF(H464&gt;E464,1,0),IF(H464&lt;E464,1,0))))</f>
        <v/>
      </c>
      <c r="J464" s="0" t="str">
        <f aca="false">IF(AND(ISNUMBER(I464),G464&lt;&gt;""),(G464-I464)^2,"")</f>
        <v/>
      </c>
    </row>
    <row r="465" customFormat="false" ht="15" hidden="false" customHeight="false" outlineLevel="0" collapsed="false">
      <c r="G465" s="13"/>
      <c r="I465" s="0" t="str">
        <f aca="false">IF(OR(H465="",E465="",D465=""),"",IF(H465=E465,"push",IF(D465="Over",IF(H465&gt;E465,1,0),IF(H465&lt;E465,1,0))))</f>
        <v/>
      </c>
      <c r="J465" s="0" t="str">
        <f aca="false">IF(AND(ISNUMBER(I465),G465&lt;&gt;""),(G465-I465)^2,"")</f>
        <v/>
      </c>
    </row>
    <row r="466" customFormat="false" ht="15" hidden="false" customHeight="false" outlineLevel="0" collapsed="false">
      <c r="G466" s="13"/>
      <c r="I466" s="0" t="str">
        <f aca="false">IF(OR(H466="",E466="",D466=""),"",IF(H466=E466,"push",IF(D466="Over",IF(H466&gt;E466,1,0),IF(H466&lt;E466,1,0))))</f>
        <v/>
      </c>
      <c r="J466" s="0" t="str">
        <f aca="false">IF(AND(ISNUMBER(I466),G466&lt;&gt;""),(G466-I466)^2,"")</f>
        <v/>
      </c>
    </row>
    <row r="467" customFormat="false" ht="15" hidden="false" customHeight="false" outlineLevel="0" collapsed="false">
      <c r="G467" s="13"/>
      <c r="I467" s="0" t="str">
        <f aca="false">IF(OR(H467="",E467="",D467=""),"",IF(H467=E467,"push",IF(D467="Over",IF(H467&gt;E467,1,0),IF(H467&lt;E467,1,0))))</f>
        <v/>
      </c>
      <c r="J467" s="0" t="str">
        <f aca="false">IF(AND(ISNUMBER(I467),G467&lt;&gt;""),(G467-I467)^2,"")</f>
        <v/>
      </c>
    </row>
    <row r="468" customFormat="false" ht="15" hidden="false" customHeight="false" outlineLevel="0" collapsed="false">
      <c r="G468" s="13"/>
      <c r="I468" s="0" t="str">
        <f aca="false">IF(OR(H468="",E468="",D468=""),"",IF(H468=E468,"push",IF(D468="Over",IF(H468&gt;E468,1,0),IF(H468&lt;E468,1,0))))</f>
        <v/>
      </c>
      <c r="J468" s="0" t="str">
        <f aca="false">IF(AND(ISNUMBER(I468),G468&lt;&gt;""),(G468-I468)^2,"")</f>
        <v/>
      </c>
    </row>
    <row r="469" customFormat="false" ht="15" hidden="false" customHeight="false" outlineLevel="0" collapsed="false">
      <c r="G469" s="13"/>
      <c r="I469" s="0" t="str">
        <f aca="false">IF(OR(H469="",E469="",D469=""),"",IF(H469=E469,"push",IF(D469="Over",IF(H469&gt;E469,1,0),IF(H469&lt;E469,1,0))))</f>
        <v/>
      </c>
      <c r="J469" s="0" t="str">
        <f aca="false">IF(AND(ISNUMBER(I469),G469&lt;&gt;""),(G469-I469)^2,"")</f>
        <v/>
      </c>
    </row>
    <row r="470" customFormat="false" ht="15" hidden="false" customHeight="false" outlineLevel="0" collapsed="false">
      <c r="G470" s="13"/>
      <c r="I470" s="0" t="str">
        <f aca="false">IF(OR(H470="",E470="",D470=""),"",IF(H470=E470,"push",IF(D470="Over",IF(H470&gt;E470,1,0),IF(H470&lt;E470,1,0))))</f>
        <v/>
      </c>
      <c r="J470" s="0" t="str">
        <f aca="false">IF(AND(ISNUMBER(I470),G470&lt;&gt;""),(G470-I470)^2,"")</f>
        <v/>
      </c>
    </row>
    <row r="471" customFormat="false" ht="15" hidden="false" customHeight="false" outlineLevel="0" collapsed="false">
      <c r="G471" s="13"/>
      <c r="I471" s="0" t="str">
        <f aca="false">IF(OR(H471="",E471="",D471=""),"",IF(H471=E471,"push",IF(D471="Over",IF(H471&gt;E471,1,0),IF(H471&lt;E471,1,0))))</f>
        <v/>
      </c>
      <c r="J471" s="0" t="str">
        <f aca="false">IF(AND(ISNUMBER(I471),G471&lt;&gt;""),(G471-I471)^2,"")</f>
        <v/>
      </c>
    </row>
    <row r="472" customFormat="false" ht="15" hidden="false" customHeight="false" outlineLevel="0" collapsed="false">
      <c r="G472" s="13"/>
      <c r="I472" s="0" t="str">
        <f aca="false">IF(OR(H472="",E472="",D472=""),"",IF(H472=E472,"push",IF(D472="Over",IF(H472&gt;E472,1,0),IF(H472&lt;E472,1,0))))</f>
        <v/>
      </c>
      <c r="J472" s="0" t="str">
        <f aca="false">IF(AND(ISNUMBER(I472),G472&lt;&gt;""),(G472-I472)^2,"")</f>
        <v/>
      </c>
    </row>
    <row r="473" customFormat="false" ht="15" hidden="false" customHeight="false" outlineLevel="0" collapsed="false">
      <c r="G473" s="13"/>
      <c r="I473" s="0" t="str">
        <f aca="false">IF(OR(H473="",E473="",D473=""),"",IF(H473=E473,"push",IF(D473="Over",IF(H473&gt;E473,1,0),IF(H473&lt;E473,1,0))))</f>
        <v/>
      </c>
      <c r="J473" s="0" t="str">
        <f aca="false">IF(AND(ISNUMBER(I473),G473&lt;&gt;""),(G473-I473)^2,"")</f>
        <v/>
      </c>
    </row>
    <row r="474" customFormat="false" ht="15" hidden="false" customHeight="false" outlineLevel="0" collapsed="false">
      <c r="G474" s="13"/>
      <c r="I474" s="0" t="str">
        <f aca="false">IF(OR(H474="",E474="",D474=""),"",IF(H474=E474,"push",IF(D474="Over",IF(H474&gt;E474,1,0),IF(H474&lt;E474,1,0))))</f>
        <v/>
      </c>
      <c r="J474" s="0" t="str">
        <f aca="false">IF(AND(ISNUMBER(I474),G474&lt;&gt;""),(G474-I474)^2,"")</f>
        <v/>
      </c>
    </row>
    <row r="475" customFormat="false" ht="15" hidden="false" customHeight="false" outlineLevel="0" collapsed="false">
      <c r="G475" s="13"/>
      <c r="I475" s="0" t="str">
        <f aca="false">IF(OR(H475="",E475="",D475=""),"",IF(H475=E475,"push",IF(D475="Over",IF(H475&gt;E475,1,0),IF(H475&lt;E475,1,0))))</f>
        <v/>
      </c>
      <c r="J475" s="0" t="str">
        <f aca="false">IF(AND(ISNUMBER(I475),G475&lt;&gt;""),(G475-I475)^2,"")</f>
        <v/>
      </c>
    </row>
    <row r="476" customFormat="false" ht="15" hidden="false" customHeight="false" outlineLevel="0" collapsed="false">
      <c r="G476" s="13"/>
      <c r="I476" s="0" t="str">
        <f aca="false">IF(OR(H476="",E476="",D476=""),"",IF(H476=E476,"push",IF(D476="Over",IF(H476&gt;E476,1,0),IF(H476&lt;E476,1,0))))</f>
        <v/>
      </c>
      <c r="J476" s="0" t="str">
        <f aca="false">IF(AND(ISNUMBER(I476),G476&lt;&gt;""),(G476-I476)^2,"")</f>
        <v/>
      </c>
    </row>
    <row r="477" customFormat="false" ht="15" hidden="false" customHeight="false" outlineLevel="0" collapsed="false">
      <c r="G477" s="13"/>
      <c r="I477" s="0" t="str">
        <f aca="false">IF(OR(H477="",E477="",D477=""),"",IF(H477=E477,"push",IF(D477="Over",IF(H477&gt;E477,1,0),IF(H477&lt;E477,1,0))))</f>
        <v/>
      </c>
      <c r="J477" s="0" t="str">
        <f aca="false">IF(AND(ISNUMBER(I477),G477&lt;&gt;""),(G477-I477)^2,"")</f>
        <v/>
      </c>
    </row>
    <row r="478" customFormat="false" ht="15" hidden="false" customHeight="false" outlineLevel="0" collapsed="false">
      <c r="G478" s="13"/>
      <c r="I478" s="0" t="str">
        <f aca="false">IF(OR(H478="",E478="",D478=""),"",IF(H478=E478,"push",IF(D478="Over",IF(H478&gt;E478,1,0),IF(H478&lt;E478,1,0))))</f>
        <v/>
      </c>
      <c r="J478" s="0" t="str">
        <f aca="false">IF(AND(ISNUMBER(I478),G478&lt;&gt;""),(G478-I478)^2,"")</f>
        <v/>
      </c>
    </row>
    <row r="479" customFormat="false" ht="15" hidden="false" customHeight="false" outlineLevel="0" collapsed="false">
      <c r="G479" s="13"/>
      <c r="I479" s="0" t="str">
        <f aca="false">IF(OR(H479="",E479="",D479=""),"",IF(H479=E479,"push",IF(D479="Over",IF(H479&gt;E479,1,0),IF(H479&lt;E479,1,0))))</f>
        <v/>
      </c>
      <c r="J479" s="0" t="str">
        <f aca="false">IF(AND(ISNUMBER(I479),G479&lt;&gt;""),(G479-I479)^2,"")</f>
        <v/>
      </c>
    </row>
    <row r="480" customFormat="false" ht="15" hidden="false" customHeight="false" outlineLevel="0" collapsed="false">
      <c r="G480" s="13"/>
      <c r="I480" s="0" t="str">
        <f aca="false">IF(OR(H480="",E480="",D480=""),"",IF(H480=E480,"push",IF(D480="Over",IF(H480&gt;E480,1,0),IF(H480&lt;E480,1,0))))</f>
        <v/>
      </c>
      <c r="J480" s="0" t="str">
        <f aca="false">IF(AND(ISNUMBER(I480),G480&lt;&gt;""),(G480-I480)^2,"")</f>
        <v/>
      </c>
    </row>
    <row r="481" customFormat="false" ht="15" hidden="false" customHeight="false" outlineLevel="0" collapsed="false">
      <c r="G481" s="13"/>
      <c r="I481" s="0" t="str">
        <f aca="false">IF(OR(H481="",E481="",D481=""),"",IF(H481=E481,"push",IF(D481="Over",IF(H481&gt;E481,1,0),IF(H481&lt;E481,1,0))))</f>
        <v/>
      </c>
      <c r="J481" s="0" t="str">
        <f aca="false">IF(AND(ISNUMBER(I481),G481&lt;&gt;""),(G481-I481)^2,"")</f>
        <v/>
      </c>
    </row>
    <row r="482" customFormat="false" ht="15" hidden="false" customHeight="false" outlineLevel="0" collapsed="false">
      <c r="G482" s="13"/>
      <c r="I482" s="0" t="str">
        <f aca="false">IF(OR(H482="",E482="",D482=""),"",IF(H482=E482,"push",IF(D482="Over",IF(H482&gt;E482,1,0),IF(H482&lt;E482,1,0))))</f>
        <v/>
      </c>
      <c r="J482" s="0" t="str">
        <f aca="false">IF(AND(ISNUMBER(I482),G482&lt;&gt;""),(G482-I482)^2,"")</f>
        <v/>
      </c>
    </row>
    <row r="483" customFormat="false" ht="15" hidden="false" customHeight="false" outlineLevel="0" collapsed="false">
      <c r="G483" s="13"/>
      <c r="I483" s="0" t="str">
        <f aca="false">IF(OR(H483="",E483="",D483=""),"",IF(H483=E483,"push",IF(D483="Over",IF(H483&gt;E483,1,0),IF(H483&lt;E483,1,0))))</f>
        <v/>
      </c>
      <c r="J483" s="0" t="str">
        <f aca="false">IF(AND(ISNUMBER(I483),G483&lt;&gt;""),(G483-I483)^2,"")</f>
        <v/>
      </c>
    </row>
    <row r="484" customFormat="false" ht="15" hidden="false" customHeight="false" outlineLevel="0" collapsed="false">
      <c r="G484" s="13"/>
      <c r="I484" s="0" t="str">
        <f aca="false">IF(OR(H484="",E484="",D484=""),"",IF(H484=E484,"push",IF(D484="Over",IF(H484&gt;E484,1,0),IF(H484&lt;E484,1,0))))</f>
        <v/>
      </c>
      <c r="J484" s="0" t="str">
        <f aca="false">IF(AND(ISNUMBER(I484),G484&lt;&gt;""),(G484-I484)^2,"")</f>
        <v/>
      </c>
    </row>
    <row r="485" customFormat="false" ht="15" hidden="false" customHeight="false" outlineLevel="0" collapsed="false">
      <c r="G485" s="13"/>
      <c r="I485" s="0" t="str">
        <f aca="false">IF(OR(H485="",E485="",D485=""),"",IF(H485=E485,"push",IF(D485="Over",IF(H485&gt;E485,1,0),IF(H485&lt;E485,1,0))))</f>
        <v/>
      </c>
      <c r="J485" s="0" t="str">
        <f aca="false">IF(AND(ISNUMBER(I485),G485&lt;&gt;""),(G485-I485)^2,"")</f>
        <v/>
      </c>
    </row>
    <row r="486" customFormat="false" ht="15" hidden="false" customHeight="false" outlineLevel="0" collapsed="false">
      <c r="G486" s="13"/>
      <c r="I486" s="0" t="str">
        <f aca="false">IF(OR(H486="",E486="",D486=""),"",IF(H486=E486,"push",IF(D486="Over",IF(H486&gt;E486,1,0),IF(H486&lt;E486,1,0))))</f>
        <v/>
      </c>
      <c r="J486" s="0" t="str">
        <f aca="false">IF(AND(ISNUMBER(I486),G486&lt;&gt;""),(G486-I486)^2,"")</f>
        <v/>
      </c>
    </row>
    <row r="487" customFormat="false" ht="15" hidden="false" customHeight="false" outlineLevel="0" collapsed="false">
      <c r="G487" s="13"/>
      <c r="I487" s="0" t="str">
        <f aca="false">IF(OR(H487="",E487="",D487=""),"",IF(H487=E487,"push",IF(D487="Over",IF(H487&gt;E487,1,0),IF(H487&lt;E487,1,0))))</f>
        <v/>
      </c>
      <c r="J487" s="0" t="str">
        <f aca="false">IF(AND(ISNUMBER(I487),G487&lt;&gt;""),(G487-I487)^2,"")</f>
        <v/>
      </c>
    </row>
    <row r="488" customFormat="false" ht="15" hidden="false" customHeight="false" outlineLevel="0" collapsed="false">
      <c r="G488" s="13"/>
      <c r="I488" s="0" t="str">
        <f aca="false">IF(OR(H488="",E488="",D488=""),"",IF(H488=E488,"push",IF(D488="Over",IF(H488&gt;E488,1,0),IF(H488&lt;E488,1,0))))</f>
        <v/>
      </c>
      <c r="J488" s="0" t="str">
        <f aca="false">IF(AND(ISNUMBER(I488),G488&lt;&gt;""),(G488-I488)^2,"")</f>
        <v/>
      </c>
    </row>
    <row r="489" customFormat="false" ht="15" hidden="false" customHeight="false" outlineLevel="0" collapsed="false">
      <c r="G489" s="13"/>
      <c r="I489" s="0" t="str">
        <f aca="false">IF(OR(H489="",E489="",D489=""),"",IF(H489=E489,"push",IF(D489="Over",IF(H489&gt;E489,1,0),IF(H489&lt;E489,1,0))))</f>
        <v/>
      </c>
      <c r="J489" s="0" t="str">
        <f aca="false">IF(AND(ISNUMBER(I489),G489&lt;&gt;""),(G489-I489)^2,"")</f>
        <v/>
      </c>
    </row>
    <row r="490" customFormat="false" ht="15" hidden="false" customHeight="false" outlineLevel="0" collapsed="false">
      <c r="G490" s="13"/>
      <c r="I490" s="0" t="str">
        <f aca="false">IF(OR(H490="",E490="",D490=""),"",IF(H490=E490,"push",IF(D490="Over",IF(H490&gt;E490,1,0),IF(H490&lt;E490,1,0))))</f>
        <v/>
      </c>
      <c r="J490" s="0" t="str">
        <f aca="false">IF(AND(ISNUMBER(I490),G490&lt;&gt;""),(G490-I490)^2,"")</f>
        <v/>
      </c>
    </row>
    <row r="491" customFormat="false" ht="15" hidden="false" customHeight="false" outlineLevel="0" collapsed="false">
      <c r="G491" s="13"/>
      <c r="I491" s="0" t="str">
        <f aca="false">IF(OR(H491="",E491="",D491=""),"",IF(H491=E491,"push",IF(D491="Over",IF(H491&gt;E491,1,0),IF(H491&lt;E491,1,0))))</f>
        <v/>
      </c>
      <c r="J491" s="0" t="str">
        <f aca="false">IF(AND(ISNUMBER(I491),G491&lt;&gt;""),(G491-I491)^2,"")</f>
        <v/>
      </c>
    </row>
    <row r="492" customFormat="false" ht="15" hidden="false" customHeight="false" outlineLevel="0" collapsed="false">
      <c r="G492" s="13"/>
      <c r="I492" s="0" t="str">
        <f aca="false">IF(OR(H492="",E492="",D492=""),"",IF(H492=E492,"push",IF(D492="Over",IF(H492&gt;E492,1,0),IF(H492&lt;E492,1,0))))</f>
        <v/>
      </c>
      <c r="J492" s="0" t="str">
        <f aca="false">IF(AND(ISNUMBER(I492),G492&lt;&gt;""),(G492-I492)^2,"")</f>
        <v/>
      </c>
    </row>
    <row r="493" customFormat="false" ht="15" hidden="false" customHeight="false" outlineLevel="0" collapsed="false">
      <c r="G493" s="13"/>
      <c r="I493" s="0" t="str">
        <f aca="false">IF(OR(H493="",E493="",D493=""),"",IF(H493=E493,"push",IF(D493="Over",IF(H493&gt;E493,1,0),IF(H493&lt;E493,1,0))))</f>
        <v/>
      </c>
      <c r="J493" s="0" t="str">
        <f aca="false">IF(AND(ISNUMBER(I493),G493&lt;&gt;""),(G493-I493)^2,"")</f>
        <v/>
      </c>
    </row>
    <row r="494" customFormat="false" ht="15" hidden="false" customHeight="false" outlineLevel="0" collapsed="false">
      <c r="G494" s="13"/>
      <c r="I494" s="0" t="str">
        <f aca="false">IF(OR(H494="",E494="",D494=""),"",IF(H494=E494,"push",IF(D494="Over",IF(H494&gt;E494,1,0),IF(H494&lt;E494,1,0))))</f>
        <v/>
      </c>
      <c r="J494" s="0" t="str">
        <f aca="false">IF(AND(ISNUMBER(I494),G494&lt;&gt;""),(G494-I494)^2,"")</f>
        <v/>
      </c>
    </row>
    <row r="495" customFormat="false" ht="15" hidden="false" customHeight="false" outlineLevel="0" collapsed="false">
      <c r="G495" s="13"/>
      <c r="I495" s="0" t="str">
        <f aca="false">IF(OR(H495="",E495="",D495=""),"",IF(H495=E495,"push",IF(D495="Over",IF(H495&gt;E495,1,0),IF(H495&lt;E495,1,0))))</f>
        <v/>
      </c>
      <c r="J495" s="0" t="str">
        <f aca="false">IF(AND(ISNUMBER(I495),G495&lt;&gt;""),(G495-I495)^2,"")</f>
        <v/>
      </c>
    </row>
    <row r="496" customFormat="false" ht="15" hidden="false" customHeight="false" outlineLevel="0" collapsed="false">
      <c r="G496" s="13"/>
      <c r="I496" s="0" t="str">
        <f aca="false">IF(OR(H496="",E496="",D496=""),"",IF(H496=E496,"push",IF(D496="Over",IF(H496&gt;E496,1,0),IF(H496&lt;E496,1,0))))</f>
        <v/>
      </c>
      <c r="J496" s="0" t="str">
        <f aca="false">IF(AND(ISNUMBER(I496),G496&lt;&gt;""),(G496-I496)^2,"")</f>
        <v/>
      </c>
    </row>
    <row r="497" customFormat="false" ht="15" hidden="false" customHeight="false" outlineLevel="0" collapsed="false">
      <c r="G497" s="13"/>
      <c r="I497" s="0" t="str">
        <f aca="false">IF(OR(H497="",E497="",D497=""),"",IF(H497=E497,"push",IF(D497="Over",IF(H497&gt;E497,1,0),IF(H497&lt;E497,1,0))))</f>
        <v/>
      </c>
      <c r="J497" s="0" t="str">
        <f aca="false">IF(AND(ISNUMBER(I497),G497&lt;&gt;""),(G497-I497)^2,"")</f>
        <v/>
      </c>
    </row>
    <row r="498" customFormat="false" ht="15" hidden="false" customHeight="false" outlineLevel="0" collapsed="false">
      <c r="G498" s="13"/>
      <c r="I498" s="0" t="str">
        <f aca="false">IF(OR(H498="",E498="",D498=""),"",IF(H498=E498,"push",IF(D498="Over",IF(H498&gt;E498,1,0),IF(H498&lt;E498,1,0))))</f>
        <v/>
      </c>
      <c r="J498" s="0" t="str">
        <f aca="false">IF(AND(ISNUMBER(I498),G498&lt;&gt;""),(G498-I498)^2,"")</f>
        <v/>
      </c>
    </row>
    <row r="499" customFormat="false" ht="15" hidden="false" customHeight="false" outlineLevel="0" collapsed="false">
      <c r="G499" s="13"/>
      <c r="I499" s="0" t="str">
        <f aca="false">IF(OR(H499="",E499="",D499=""),"",IF(H499=E499,"push",IF(D499="Over",IF(H499&gt;E499,1,0),IF(H499&lt;E499,1,0))))</f>
        <v/>
      </c>
      <c r="J499" s="0" t="str">
        <f aca="false">IF(AND(ISNUMBER(I499),G499&lt;&gt;""),(G499-I499)^2,"")</f>
        <v/>
      </c>
    </row>
    <row r="500" customFormat="false" ht="15" hidden="false" customHeight="false" outlineLevel="0" collapsed="false">
      <c r="G500" s="13"/>
      <c r="I500" s="0" t="str">
        <f aca="false">IF(OR(H500="",E500="",D500=""),"",IF(H500=E500,"push",IF(D500="Over",IF(H500&gt;E500,1,0),IF(H500&lt;E500,1,0))))</f>
        <v/>
      </c>
      <c r="J500" s="0" t="str">
        <f aca="false">IF(AND(ISNUMBER(I500),G500&lt;&gt;""),(G500-I500)^2,"")</f>
        <v/>
      </c>
    </row>
    <row r="501" customFormat="false" ht="15" hidden="false" customHeight="false" outlineLevel="0" collapsed="false">
      <c r="G501" s="13"/>
      <c r="I501" s="0" t="str">
        <f aca="false">IF(OR(H501="",E501="",D501=""),"",IF(H501=E501,"push",IF(D501="Over",IF(H501&gt;E501,1,0),IF(H501&lt;E501,1,0))))</f>
        <v/>
      </c>
      <c r="J501" s="0" t="str">
        <f aca="false">IF(AND(ISNUMBER(I501),G501&lt;&gt;""),(G501-I501)^2,"")</f>
        <v/>
      </c>
    </row>
    <row r="502" customFormat="false" ht="15" hidden="false" customHeight="false" outlineLevel="0" collapsed="false">
      <c r="G502" s="13"/>
      <c r="I502" s="0" t="str">
        <f aca="false">IF(OR(H502="",E502="",D502=""),"",IF(H502=E502,"push",IF(D502="Over",IF(H502&gt;E502,1,0),IF(H502&lt;E502,1,0))))</f>
        <v/>
      </c>
      <c r="J502" s="0" t="str">
        <f aca="false">IF(AND(ISNUMBER(I502),G502&lt;&gt;""),(G502-I502)^2,"")</f>
        <v/>
      </c>
    </row>
    <row r="503" customFormat="false" ht="15" hidden="false" customHeight="false" outlineLevel="0" collapsed="false">
      <c r="G503" s="13"/>
      <c r="I503" s="0" t="str">
        <f aca="false">IF(OR(H503="",E503="",D503=""),"",IF(H503=E503,"push",IF(D503="Over",IF(H503&gt;E503,1,0),IF(H503&lt;E503,1,0))))</f>
        <v/>
      </c>
      <c r="J503" s="0" t="str">
        <f aca="false">IF(AND(ISNUMBER(I503),G503&lt;&gt;""),(G503-I503)^2,"")</f>
        <v/>
      </c>
    </row>
    <row r="504" customFormat="false" ht="15" hidden="false" customHeight="false" outlineLevel="0" collapsed="false">
      <c r="G504" s="13"/>
      <c r="I504" s="0" t="str">
        <f aca="false">IF(OR(H504="",E504="",D504=""),"",IF(H504=E504,"push",IF(D504="Over",IF(H504&gt;E504,1,0),IF(H504&lt;E504,1,0))))</f>
        <v/>
      </c>
      <c r="J504" s="0" t="str">
        <f aca="false">IF(AND(ISNUMBER(I504),G504&lt;&gt;""),(G504-I504)^2,"")</f>
        <v/>
      </c>
    </row>
    <row r="505" customFormat="false" ht="15" hidden="false" customHeight="false" outlineLevel="0" collapsed="false">
      <c r="G505" s="13"/>
      <c r="I505" s="0" t="str">
        <f aca="false">IF(OR(H505="",E505="",D505=""),"",IF(H505=E505,"push",IF(D505="Over",IF(H505&gt;E505,1,0),IF(H505&lt;E505,1,0))))</f>
        <v/>
      </c>
      <c r="J505" s="0" t="str">
        <f aca="false">IF(AND(ISNUMBER(I505),G505&lt;&gt;""),(G505-I505)^2,"")</f>
        <v/>
      </c>
    </row>
    <row r="506" customFormat="false" ht="15" hidden="false" customHeight="false" outlineLevel="0" collapsed="false">
      <c r="G506" s="13"/>
      <c r="I506" s="0" t="str">
        <f aca="false">IF(OR(H506="",E506="",D506=""),"",IF(H506=E506,"push",IF(D506="Over",IF(H506&gt;E506,1,0),IF(H506&lt;E506,1,0))))</f>
        <v/>
      </c>
      <c r="J506" s="0" t="str">
        <f aca="false">IF(AND(ISNUMBER(I506),G506&lt;&gt;""),(G506-I506)^2,"")</f>
        <v/>
      </c>
    </row>
    <row r="507" customFormat="false" ht="15" hidden="false" customHeight="false" outlineLevel="0" collapsed="false">
      <c r="G507" s="13"/>
      <c r="I507" s="0" t="str">
        <f aca="false">IF(OR(H507="",E507="",D507=""),"",IF(H507=E507,"push",IF(D507="Over",IF(H507&gt;E507,1,0),IF(H507&lt;E507,1,0))))</f>
        <v/>
      </c>
      <c r="J507" s="0" t="str">
        <f aca="false">IF(AND(ISNUMBER(I507),G507&lt;&gt;""),(G507-I507)^2,"")</f>
        <v/>
      </c>
    </row>
    <row r="508" customFormat="false" ht="15" hidden="false" customHeight="false" outlineLevel="0" collapsed="false">
      <c r="G508" s="13"/>
      <c r="I508" s="0" t="str">
        <f aca="false">IF(OR(H508="",E508="",D508=""),"",IF(H508=E508,"push",IF(D508="Over",IF(H508&gt;E508,1,0),IF(H508&lt;E508,1,0))))</f>
        <v/>
      </c>
      <c r="J508" s="0" t="str">
        <f aca="false">IF(AND(ISNUMBER(I508),G508&lt;&gt;""),(G508-I508)^2,"")</f>
        <v/>
      </c>
    </row>
  </sheetData>
  <dataValidations count="2">
    <dataValidation allowBlank="true" errorStyle="stop" operator="between" showDropDown="false" showErrorMessage="false" showInputMessage="false" sqref="D9:D508" type="list">
      <formula1>"Over,Under"</formula1>
      <formula2>0</formula2>
    </dataValidation>
    <dataValidation allowBlank="true" errorStyle="stop" operator="between" showDropDown="false" showErrorMessage="false" showInputMessage="false" sqref="C9:C508" type="list">
      <formula1>"PTS,REB,AST,PRA"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2026-10-11T02:23:21Z</dcterms:created>
  <dc:creator>openpyxl</dc:creator>
  <dc:description/>
  <dc:language>en-US</dc:language>
  <cp:lastModifiedBy/>
  <dcterms:modified xsi:type="dcterms:W3CDTF">2026-10-11T02:23:21Z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